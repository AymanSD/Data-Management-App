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lsebai.c\Downloads\"/>
    </mc:Choice>
  </mc:AlternateContent>
  <xr:revisionPtr revIDLastSave="0" documentId="13_ncr:1_{A5B585CA-324E-4BC0-A246-B574F3FCDA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 Employees  " sheetId="6" r:id="rId1"/>
    <sheet name="Total number of employees for " sheetId="31" r:id="rId2"/>
    <sheet name="Sheet2" sheetId="8" state="hidden" r:id="rId3"/>
    <sheet name="All Employees " sheetId="3" state="hidden" r:id="rId4"/>
    <sheet name="Morning Shift  (2)" sheetId="7" state="hidden" r:id="rId5"/>
    <sheet name="Sheet1" sheetId="5" r:id="rId6"/>
    <sheet name="Sheet3" sheetId="33" r:id="rId7"/>
    <sheet name="حذف بصمة" sheetId="35" r:id="rId8"/>
    <sheet name="Sheet4" sheetId="36" r:id="rId9"/>
    <sheet name="Sheet5" sheetId="37" r:id="rId10"/>
    <sheet name="Sheet6" sheetId="38" r:id="rId11"/>
    <sheet name="Sheet7" sheetId="39" r:id="rId12"/>
  </sheets>
  <definedNames>
    <definedName name="_xlnm._FilterDatabase" localSheetId="0" hidden="1">'All Employees  '!#REF!</definedName>
    <definedName name="_xlnm._FilterDatabase" localSheetId="9" hidden="1">Sheet5!$A$1:$J$40</definedName>
    <definedName name="_xlnm._FilterDatabase" localSheetId="7" hidden="1">'حذف بصمة'!$A$1:$E$20</definedName>
  </definedNames>
  <calcPr calcId="191029"/>
  <pivotCaches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33" l="1"/>
  <c r="C45" i="7"/>
  <c r="B45" i="7"/>
  <c r="C35" i="3"/>
  <c r="H18" i="3"/>
  <c r="I18" i="3" s="1"/>
  <c r="K25" i="3" s="1"/>
  <c r="H17" i="3"/>
  <c r="I17" i="3" s="1"/>
  <c r="K24" i="3" s="1"/>
  <c r="H12" i="3"/>
  <c r="I12" i="3" s="1"/>
  <c r="I25" i="3" s="1"/>
  <c r="H11" i="3"/>
  <c r="I11" i="3" s="1"/>
  <c r="H6" i="3"/>
  <c r="I6" i="3" s="1"/>
  <c r="G25" i="3" s="1"/>
  <c r="H5" i="3"/>
  <c r="I5" i="3" s="1"/>
  <c r="G24" i="3" s="1"/>
  <c r="I24" i="3" l="1"/>
  <c r="I26" i="3" s="1"/>
  <c r="G26" i="3"/>
  <c r="K26" i="3"/>
  <c r="H27" i="3" l="1"/>
</calcChain>
</file>

<file path=xl/sharedStrings.xml><?xml version="1.0" encoding="utf-8"?>
<sst xmlns="http://schemas.openxmlformats.org/spreadsheetml/2006/main" count="1628" uniqueCount="396">
  <si>
    <t>Mohammed AlShehri</t>
  </si>
  <si>
    <t>Asmaa AlShahrani</t>
  </si>
  <si>
    <t>Naif AlHafi</t>
  </si>
  <si>
    <t>Mansour AlRwais</t>
  </si>
  <si>
    <t>Shuruq AlSaheli</t>
  </si>
  <si>
    <t>May AlEissa</t>
  </si>
  <si>
    <t>Abdullah Basendwah</t>
  </si>
  <si>
    <t>Hady Barakat</t>
  </si>
  <si>
    <t>Hisham Fadhallah</t>
  </si>
  <si>
    <t>Razan Kushar</t>
  </si>
  <si>
    <t>Hisham Sanad</t>
  </si>
  <si>
    <t>Mohammed AlQahtani</t>
  </si>
  <si>
    <t>Islam Mohammed</t>
  </si>
  <si>
    <t>Ibrahim AlJubayri</t>
  </si>
  <si>
    <t>Mohammed Jafer</t>
  </si>
  <si>
    <t>Mahmmod Abo Almjd</t>
  </si>
  <si>
    <t>Majed Habbab</t>
  </si>
  <si>
    <t>Abdullah Bin Dafy</t>
  </si>
  <si>
    <t>Name</t>
  </si>
  <si>
    <t>Role</t>
  </si>
  <si>
    <t>Maria alghoson</t>
  </si>
  <si>
    <t>Raghad alturki</t>
  </si>
  <si>
    <t>Rawabi allawaimi</t>
  </si>
  <si>
    <t>Seham alzahrani</t>
  </si>
  <si>
    <t>Abdullah aldakheel</t>
  </si>
  <si>
    <t>reem alotaibi</t>
  </si>
  <si>
    <t>Fatimh almarshed</t>
  </si>
  <si>
    <t>Fatimah haddadi</t>
  </si>
  <si>
    <t>Mehsnah alyami</t>
  </si>
  <si>
    <t>Raseel alharthi</t>
  </si>
  <si>
    <t>Badr Eldin Babkir</t>
  </si>
  <si>
    <t>Najah Al-Muteri</t>
  </si>
  <si>
    <t>Editor</t>
  </si>
  <si>
    <t>Supervisor</t>
  </si>
  <si>
    <t>Team lead</t>
  </si>
  <si>
    <t>Total</t>
  </si>
  <si>
    <t xml:space="preserve">Supervisor for urgent Cases    </t>
  </si>
  <si>
    <t>Editor for Parcel Number</t>
  </si>
  <si>
    <t xml:space="preserve"> New join as Editor</t>
  </si>
  <si>
    <t xml:space="preserve">Reem Almalki </t>
  </si>
  <si>
    <t xml:space="preserve">Editor </t>
  </si>
  <si>
    <t>Reemh Saad  Aldossri</t>
  </si>
  <si>
    <t> Super Editor</t>
  </si>
  <si>
    <t>NO.</t>
  </si>
  <si>
    <t xml:space="preserve">Hessa M. Algaud </t>
  </si>
  <si>
    <t>Ops.</t>
  </si>
  <si>
    <t>Team</t>
  </si>
  <si>
    <t>Urgent</t>
  </si>
  <si>
    <t>Geometry</t>
  </si>
  <si>
    <t>Outreach</t>
  </si>
  <si>
    <t>Planning</t>
  </si>
  <si>
    <t>Master Editor</t>
  </si>
  <si>
    <t>Planner</t>
  </si>
  <si>
    <t> Master Editor</t>
  </si>
  <si>
    <t>Productivity per Employee (Geometry)</t>
  </si>
  <si>
    <t xml:space="preserve">Productivity per Employee  (Attributes) </t>
  </si>
  <si>
    <t>Attributes</t>
  </si>
  <si>
    <t>Daily Cases</t>
  </si>
  <si>
    <t>Weekly Cases</t>
  </si>
  <si>
    <t>Monthly Cases</t>
  </si>
  <si>
    <t>Monthly Productivity</t>
  </si>
  <si>
    <t>No. Cases</t>
  </si>
  <si>
    <t>Total Monthly Cases</t>
  </si>
  <si>
    <t>Team Lead</t>
  </si>
  <si>
    <t>#</t>
  </si>
  <si>
    <t xml:space="preserve">Master Editor Attributes </t>
  </si>
  <si>
    <t xml:space="preserve">Geometry </t>
  </si>
  <si>
    <t xml:space="preserve">Productivity per Employee  (Urgent) </t>
  </si>
  <si>
    <t>Sayed Magd El din</t>
  </si>
  <si>
    <t>Mohammed Aldein</t>
  </si>
  <si>
    <t>Mohamed Faisal Hussein Baday</t>
  </si>
  <si>
    <t>Abbas Omar Mohamed Ali</t>
  </si>
  <si>
    <t>Hazem Atef Amin Bendary</t>
  </si>
  <si>
    <t>AMR AHMED</t>
  </si>
  <si>
    <t>Mohammed Mustafa Al-Daly</t>
  </si>
  <si>
    <t>QC for urgent cases</t>
  </si>
  <si>
    <t xml:space="preserve"> New join as Editor for Parcel Number</t>
  </si>
  <si>
    <t>Tawfiq Samir Abd ELWAHAB</t>
  </si>
  <si>
    <t>Islam El-Sayed Zaki</t>
  </si>
  <si>
    <t>Amro Siddig Salih Elmahi Gandour</t>
  </si>
  <si>
    <t xml:space="preserve"> New join as  Super Editor</t>
  </si>
  <si>
    <t xml:space="preserve"> New join as Super Editor</t>
  </si>
  <si>
    <t>Super Editor</t>
  </si>
  <si>
    <t> Super Editor for Parcel Number</t>
  </si>
  <si>
    <t>Shift</t>
  </si>
  <si>
    <t>Noaf Jaber Al-Sehemy</t>
  </si>
  <si>
    <t>Mashaael Al-Sebai</t>
  </si>
  <si>
    <t>Ali Ahmed Fathallah Nasser</t>
  </si>
  <si>
    <t>New</t>
  </si>
  <si>
    <t>Expert</t>
  </si>
  <si>
    <t>Morning</t>
  </si>
  <si>
    <t>Evening</t>
  </si>
  <si>
    <t>Dar Al Riyadh</t>
  </si>
  <si>
    <t>Atheeb Intergraph</t>
  </si>
  <si>
    <t>AlQotr</t>
  </si>
  <si>
    <t xml:space="preserve">Alkan </t>
  </si>
  <si>
    <t>FTE</t>
  </si>
  <si>
    <t>OS</t>
  </si>
  <si>
    <t>Date of join</t>
  </si>
  <si>
    <t>Company</t>
  </si>
  <si>
    <t>Email</t>
  </si>
  <si>
    <t>rkushar.c@rer.sa</t>
  </si>
  <si>
    <t>ralturki.c@rer.sa</t>
  </si>
  <si>
    <t>salzahrani.c@rer.sa</t>
  </si>
  <si>
    <t>aaldakheel.c@rer.sa</t>
  </si>
  <si>
    <t>mjaafar.c@rer.sa</t>
  </si>
  <si>
    <t>agandour.c@rer.sa</t>
  </si>
  <si>
    <t>nalhafi@rer.sa</t>
  </si>
  <si>
    <t>Mohammed Ibrahim Mohammed</t>
  </si>
  <si>
    <t>Saleh M. Al-Jakhideb</t>
  </si>
  <si>
    <t>Yahya M. Al-Bishi</t>
  </si>
  <si>
    <t>saljakhideb.c@rer.sa</t>
  </si>
  <si>
    <t xml:space="preserve">	
yalbishi.c@rer.sa</t>
  </si>
  <si>
    <t>amahmmod.c@rer.sa</t>
  </si>
  <si>
    <t xml:space="preserve">send Email to C.S &amp; NDA </t>
  </si>
  <si>
    <t>Creat emil</t>
  </si>
  <si>
    <t xml:space="preserve">Platform </t>
  </si>
  <si>
    <t>ARC GIS</t>
  </si>
  <si>
    <t xml:space="preserve">Microsofrt APP </t>
  </si>
  <si>
    <t xml:space="preserve">Entry Access </t>
  </si>
  <si>
    <t xml:space="preserve">Rana Ahmed </t>
  </si>
  <si>
    <t xml:space="preserve">Omar Azab </t>
  </si>
  <si>
    <t xml:space="preserve">Hesham  Selim  </t>
  </si>
  <si>
    <t>Ahmad ElFadil</t>
  </si>
  <si>
    <t>Wafi Noah</t>
  </si>
  <si>
    <t>Elkhatem Adam</t>
  </si>
  <si>
    <t xml:space="preserve">Aya Abbas </t>
  </si>
  <si>
    <t xml:space="preserve">Ibrahim  Mohammed </t>
  </si>
  <si>
    <t>Ali Sadeq</t>
  </si>
  <si>
    <t>Mohammed Hamed</t>
  </si>
  <si>
    <t>Lamya Mohammed</t>
  </si>
  <si>
    <t>Ghada Al-Baqmi</t>
  </si>
  <si>
    <t>Consultant</t>
  </si>
  <si>
    <t>Mazin MohammedKhir</t>
  </si>
  <si>
    <t>Mohammed Abdallah Fadil</t>
  </si>
  <si>
    <t>AHMED Mustafa Mahmmod Alqadi</t>
  </si>
  <si>
    <t xml:space="preserve">Mustafa Alnmar </t>
  </si>
  <si>
    <t xml:space="preserve">Omar Jebrel </t>
  </si>
  <si>
    <t>Abeer Alkhouli</t>
  </si>
  <si>
    <t xml:space="preserve">in progress </t>
  </si>
  <si>
    <t xml:space="preserve">Joined </t>
  </si>
  <si>
    <t>Amani Al-Zabali</t>
  </si>
  <si>
    <t>Manager</t>
  </si>
  <si>
    <t>Latifa Safar Al-Shalawi</t>
  </si>
  <si>
    <t>Group 1</t>
  </si>
  <si>
    <t>Group 2</t>
  </si>
  <si>
    <t>Group 3</t>
  </si>
  <si>
    <t>Group 4</t>
  </si>
  <si>
    <t>Amr Alsanosy</t>
  </si>
  <si>
    <t xml:space="preserve">Unknown </t>
  </si>
  <si>
    <t>rahmed.c@rer.sa</t>
  </si>
  <si>
    <t>oazab.c@rer.sa  </t>
  </si>
  <si>
    <t>hselim.c@rer.sa</t>
  </si>
  <si>
    <t>aabbas.c@rer.sa</t>
  </si>
  <si>
    <t>lmohammed.c@rer.sa</t>
  </si>
  <si>
    <t>aalkhouli.c@rer.sa</t>
  </si>
  <si>
    <t>ojebrel.c@rer.sa</t>
  </si>
  <si>
    <t xml:space="preserve">Subsequent transaction </t>
  </si>
  <si>
    <t>Data</t>
  </si>
  <si>
    <t>Youssef Wael Farag</t>
  </si>
  <si>
    <t>resignation</t>
  </si>
  <si>
    <t>Khaled FARH</t>
  </si>
  <si>
    <t>kfarah.c@rer.sa</t>
  </si>
  <si>
    <t xml:space="preserve">TAHA MOHAMAD </t>
  </si>
  <si>
    <t>lalshalawi.c@rer.sa</t>
  </si>
  <si>
    <t>Rawan Musa Qasim</t>
  </si>
  <si>
    <t>Abdul Rahman Dhafer Al-Shahrani</t>
  </si>
  <si>
    <t>yfarag.c@rer.sa</t>
  </si>
  <si>
    <t>rqasim.c@rer.sa</t>
  </si>
  <si>
    <t>naltayyar.c@rer.sa</t>
  </si>
  <si>
    <t>Isammaldin Mohammed</t>
  </si>
  <si>
    <t>idmohammed.c@rer.sa</t>
  </si>
  <si>
    <t>Alhanouf Almarzouk</t>
  </si>
  <si>
    <t>Abdulaziz Alanzi</t>
  </si>
  <si>
    <t>F</t>
  </si>
  <si>
    <t>ASAlanazi.c@Rer.sa</t>
  </si>
  <si>
    <t>aalshahrani.c@rer.sa</t>
  </si>
  <si>
    <t>grievances</t>
  </si>
  <si>
    <t>First Registration</t>
  </si>
  <si>
    <t>Coordination Team</t>
  </si>
  <si>
    <t>Management</t>
  </si>
  <si>
    <t>Mohammed Alghamdi</t>
  </si>
  <si>
    <t>Ftoon Bader Saad Alrawily</t>
  </si>
  <si>
    <t>Coordinator</t>
  </si>
  <si>
    <t>HR</t>
  </si>
  <si>
    <t>Gender</t>
  </si>
  <si>
    <t>M</t>
  </si>
  <si>
    <t>NaJlaa Al-Tayyar</t>
  </si>
  <si>
    <t>Training</t>
  </si>
  <si>
    <t>Sara Ibrahim Alafif</t>
  </si>
  <si>
    <t>Saad Al-Subaie</t>
  </si>
  <si>
    <t xml:space="preserve">Abdullah Alofi </t>
  </si>
  <si>
    <t>salafif.c@rer.sa</t>
  </si>
  <si>
    <t>salsubaie.c@rer.sa</t>
  </si>
  <si>
    <t xml:space="preserve">Belal Jlelati </t>
  </si>
  <si>
    <t>aaloufi.c@rer.sa</t>
  </si>
  <si>
    <t>Falah Abdullah Alsubaie</t>
  </si>
  <si>
    <t>falsubaie.c@rer.sa</t>
  </si>
  <si>
    <t xml:space="preserve">Hatim alotaibe </t>
  </si>
  <si>
    <t>Deed</t>
  </si>
  <si>
    <t>halotaibe.c@rer.sa</t>
  </si>
  <si>
    <t xml:space="preserve">Ali Alkanani </t>
  </si>
  <si>
    <t xml:space="preserve">Othman Sager                  </t>
  </si>
  <si>
    <t xml:space="preserve">khalid Alwaleed </t>
  </si>
  <si>
    <t>Mutlaq  Asiri</t>
  </si>
  <si>
    <t>Osman  Bakri</t>
  </si>
  <si>
    <t>kalwaleed.c@rer.sa</t>
  </si>
  <si>
    <t>masiri.c@rer.sa</t>
  </si>
  <si>
    <t>Imad Al-Din Abdullah</t>
  </si>
  <si>
    <t>Muhanad Saad Al-Otaibi</t>
  </si>
  <si>
    <t>mnoseer al frhod</t>
  </si>
  <si>
    <t>malfrhood.c@rer.sa</t>
  </si>
  <si>
    <t>Nawaf Alrayyani</t>
  </si>
  <si>
    <t>AbdulMalik AlMusnid</t>
  </si>
  <si>
    <t>Mohammed Fathalddin</t>
  </si>
  <si>
    <t>Ayman Altoum</t>
  </si>
  <si>
    <t>AbulFattah Hassan</t>
  </si>
  <si>
    <t xml:space="preserve">Ahmad Ishag </t>
  </si>
  <si>
    <t>Riman Al-Johani</t>
  </si>
  <si>
    <t>Iabdullah.c@rer.sa</t>
  </si>
  <si>
    <t>Mustafa Hasab</t>
  </si>
  <si>
    <t>bander aldosri</t>
  </si>
  <si>
    <t>aalmusnid.c@rer.sa</t>
  </si>
  <si>
    <t>baldosri.c@rer.sa</t>
  </si>
  <si>
    <t>MHamed.c@Rer.sa</t>
  </si>
  <si>
    <t>ASadeq.c@rer.sa</t>
  </si>
  <si>
    <t>QC DATA</t>
  </si>
  <si>
    <t>Mohamed Youssef</t>
  </si>
  <si>
    <t>Job Title</t>
  </si>
  <si>
    <t>Mobile Number</t>
  </si>
  <si>
    <t>GIS_ANALYSIS</t>
  </si>
  <si>
    <t>GIS_QC</t>
  </si>
  <si>
    <t>GIS- CONSULTANT</t>
  </si>
  <si>
    <t>BD</t>
  </si>
  <si>
    <t>Ibrahim Almalki</t>
  </si>
  <si>
    <t>Hilal Al Mutairi</t>
  </si>
  <si>
    <t>Mohammed Albaqmi</t>
  </si>
  <si>
    <t>Abdulmalik Al Zahrani</t>
  </si>
  <si>
    <t>Faisal Almutairi</t>
  </si>
  <si>
    <t>Albaraa Aldurayhim</t>
  </si>
  <si>
    <t>Reem Alamri</t>
  </si>
  <si>
    <t>Malbgmi.c@rer.sa</t>
  </si>
  <si>
    <t>Falmutairi.c@rer.sa</t>
  </si>
  <si>
    <t>Years of Experience</t>
  </si>
  <si>
    <t>1 MON</t>
  </si>
  <si>
    <t>5 MON</t>
  </si>
  <si>
    <t>1 YR 5 MON</t>
  </si>
  <si>
    <t>Osama Ali</t>
  </si>
  <si>
    <t>ahmed siddig</t>
  </si>
  <si>
    <t>rowa alsadig</t>
  </si>
  <si>
    <t>samr mohammed</t>
  </si>
  <si>
    <t>Abdulmohsen Al-Qahtani</t>
  </si>
  <si>
    <t>Mojahed Sayed</t>
  </si>
  <si>
    <t>amjad alnajey</t>
  </si>
  <si>
    <t>afnan alotibi</t>
  </si>
  <si>
    <t>renad alkaak</t>
  </si>
  <si>
    <t>Mohammed Saud Alsulami</t>
  </si>
  <si>
    <t>muhanad mansur</t>
  </si>
  <si>
    <t>Norah al farraj</t>
  </si>
  <si>
    <t>2 YR</t>
  </si>
  <si>
    <t>Mohammed Obaid Al-Mutairi</t>
  </si>
  <si>
    <t>Mohammed FALAH ALBURAYK</t>
  </si>
  <si>
    <t>14 YR</t>
  </si>
  <si>
    <t>4 YR</t>
  </si>
  <si>
    <t>5 YR</t>
  </si>
  <si>
    <t>3 YR</t>
  </si>
  <si>
    <t>4YR</t>
  </si>
  <si>
    <t>6 MON</t>
  </si>
  <si>
    <t>3 MON</t>
  </si>
  <si>
    <t>Mohammed AlSayf</t>
  </si>
  <si>
    <t>Waleed Alomari</t>
  </si>
  <si>
    <t>Sanad Alshammari</t>
  </si>
  <si>
    <t>samy mohameed</t>
  </si>
  <si>
    <t>fahad alrwais</t>
  </si>
  <si>
    <t>abdulaziz almutlaq</t>
  </si>
  <si>
    <t>mohammed alshebani</t>
  </si>
  <si>
    <t>alanood alghamdi</t>
  </si>
  <si>
    <t>Walaa Yousef Ali</t>
  </si>
  <si>
    <t>abdullah aqeel</t>
  </si>
  <si>
    <t>Atheer Saad AlQarni</t>
  </si>
  <si>
    <t>Bayan Al-Ghamdi</t>
  </si>
  <si>
    <t xml:space="preserve">6 MON </t>
  </si>
  <si>
    <t>1 YR 6 MON</t>
  </si>
  <si>
    <t>1 YR</t>
  </si>
  <si>
    <t xml:space="preserve">2 YR </t>
  </si>
  <si>
    <t>8 MON</t>
  </si>
  <si>
    <t>7 MON</t>
  </si>
  <si>
    <t>10 YR</t>
  </si>
  <si>
    <t>6 YR</t>
  </si>
  <si>
    <t>2 MON</t>
  </si>
  <si>
    <t>0 YR</t>
  </si>
  <si>
    <t xml:space="preserve">Ahmed Elshazly </t>
  </si>
  <si>
    <t>Mohammed Akthum</t>
  </si>
  <si>
    <t>15 YR</t>
  </si>
  <si>
    <t>7 YR</t>
  </si>
  <si>
    <t>9 YR</t>
  </si>
  <si>
    <t xml:space="preserve">8 YR </t>
  </si>
  <si>
    <t xml:space="preserve">6 YR </t>
  </si>
  <si>
    <t>13 YR</t>
  </si>
  <si>
    <t xml:space="preserve">4 YR </t>
  </si>
  <si>
    <t>19 YR</t>
  </si>
  <si>
    <t>Ahmed Hashim Mostafa</t>
  </si>
  <si>
    <t>Mohammed Yousef Sheikh</t>
  </si>
  <si>
    <t>AAlQahtani.c@rer.sa</t>
  </si>
  <si>
    <t>MAlMutairi.c@rer.sa</t>
  </si>
  <si>
    <t>MAlSayf.c@rer.sa</t>
  </si>
  <si>
    <t>Grand Total</t>
  </si>
  <si>
    <t>Row Labels</t>
  </si>
  <si>
    <t>Count of Name</t>
  </si>
  <si>
    <t>Amana</t>
  </si>
  <si>
    <t>Resignations</t>
  </si>
  <si>
    <t>2023</t>
  </si>
  <si>
    <t>2024</t>
  </si>
  <si>
    <t>2025</t>
  </si>
  <si>
    <t>(Multiple Items)</t>
  </si>
  <si>
    <t>Nov</t>
  </si>
  <si>
    <t>Dec</t>
  </si>
  <si>
    <t>Oct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</si>
  <si>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</si>
  <si>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</si>
  <si>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</si>
  <si>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</si>
  <si>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</si>
  <si>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</si>
  <si>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</si>
  <si>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</si>
  <si>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</si>
  <si>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lama alqhtani</t>
  </si>
  <si>
    <t>munira alhajri</t>
  </si>
  <si>
    <t>fahad alotibi</t>
  </si>
  <si>
    <t xml:space="preserve">withdrawal form work </t>
  </si>
  <si>
    <t>Malshebani.c@rer.sa</t>
  </si>
  <si>
    <t>Waad Al-Otaibi</t>
  </si>
  <si>
    <t>Afnan Alhumaidy</t>
  </si>
  <si>
    <t>Moataz Ibrahim</t>
  </si>
  <si>
    <t>Suliman Alomran</t>
  </si>
  <si>
    <t xml:space="preserve">Holool Aloula </t>
  </si>
  <si>
    <t>Ahad Al-Zahrani</t>
  </si>
  <si>
    <t>Sumaya Ali</t>
  </si>
  <si>
    <t>Jawaher Al-Sultan</t>
  </si>
  <si>
    <t>Abdulaziz Al-Otaibi</t>
  </si>
  <si>
    <t>Nora b Maamar</t>
  </si>
  <si>
    <t>Amal Al-Bladi</t>
  </si>
  <si>
    <t>Yasser Othman</t>
  </si>
  <si>
    <t>Asmaa Mubarak Al-Zahrani</t>
  </si>
  <si>
    <t>Amal Jaber Al-Mary</t>
  </si>
  <si>
    <t>Mohammed Zakaria</t>
  </si>
  <si>
    <t>Qtr1</t>
  </si>
  <si>
    <t>AAlMary.c@Rer.sa</t>
  </si>
  <si>
    <t>MZakaria.c@Rer.sa</t>
  </si>
  <si>
    <t>Ghadah Salman Bin Salem</t>
  </si>
  <si>
    <t>Saleh Mansour Al-Morqi</t>
  </si>
  <si>
    <t>Abdullah Al-Hujailan</t>
  </si>
  <si>
    <t>Musab Al-Amin</t>
  </si>
  <si>
    <t>Abu Bakr Mohammed Ali</t>
  </si>
  <si>
    <t>Obada Al-Mousa</t>
  </si>
  <si>
    <t>Osama Khalifa Osman</t>
  </si>
  <si>
    <t>Mohammed Ghazi Al-Mutairi</t>
  </si>
  <si>
    <t>Majed Abu Al-Hassan</t>
  </si>
  <si>
    <t>MSHAIL Mutlaq Al-Hajri</t>
  </si>
  <si>
    <t xml:space="preserve"> Ibrahim Abu Bashar</t>
  </si>
  <si>
    <t>Abladi.c@Rer.sa</t>
  </si>
  <si>
    <t>Gsalem.c@Rer.sa</t>
  </si>
  <si>
    <t>Saudi</t>
  </si>
  <si>
    <t xml:space="preserve">Other </t>
  </si>
  <si>
    <t>IKMohammed.c@rer.sa</t>
  </si>
  <si>
    <t>Oosman.c@rer.sa</t>
  </si>
  <si>
    <t>Salomran.c@rer.sa</t>
  </si>
  <si>
    <t>Abdullah Elsalme</t>
  </si>
  <si>
    <t xml:space="preserve"> SAHAFA</t>
  </si>
  <si>
    <t xml:space="preserve">7 YR </t>
  </si>
  <si>
    <t xml:space="preserve">9 YR </t>
  </si>
  <si>
    <t xml:space="preserve">1 YR </t>
  </si>
  <si>
    <t xml:space="preserve">0 YR </t>
  </si>
  <si>
    <t xml:space="preserve">3 YR </t>
  </si>
  <si>
    <t>Hisham Amin</t>
  </si>
  <si>
    <t>Nationality</t>
  </si>
  <si>
    <t>Development</t>
  </si>
  <si>
    <t>Al-Shuhada</t>
  </si>
  <si>
    <t xml:space="preserve">الشركات </t>
  </si>
  <si>
    <t xml:space="preserve">السجل </t>
  </si>
  <si>
    <t xml:space="preserve">موظفين الصباح </t>
  </si>
  <si>
    <t xml:space="preserve">موظفين المساء </t>
  </si>
  <si>
    <t>موظفين الصحافة</t>
  </si>
  <si>
    <t xml:space="preserve">موظفين الشهداء </t>
  </si>
  <si>
    <t xml:space="preserve">موظفين الامانه </t>
  </si>
  <si>
    <t>Haitham M. Althebaiti</t>
  </si>
  <si>
    <t>HAlthebaiti@rer.sa</t>
  </si>
  <si>
    <t>Resignation Date</t>
  </si>
  <si>
    <t>FakhrEldeen Osman</t>
  </si>
  <si>
    <t>FOsman.c@rer.sa</t>
  </si>
  <si>
    <t>ID RER</t>
  </si>
  <si>
    <t>YR0</t>
  </si>
  <si>
    <t>DATA</t>
  </si>
  <si>
    <t>end of contract</t>
  </si>
  <si>
    <t>Group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</si>
</sst>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[$-F800]dddd\,\ mmmm\ dd\,\ yyyy"/>
    <numFmt numFmtId="166" formatCode="[$-409]d\-mmm\-yyyy;@"/>
    <numFmt numFmtId="167" formatCode="yyyy\-mm\-dd;@"/>
    <numFmt numFmtId="168" formatCode="m/d/yyyy;@"/>
  </numFmts>
  <fonts count="2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0"/>
      <color theme="1"/>
      <name val="Aptos"/>
      <family val="2"/>
    </font>
    <font>
      <sz val="10"/>
      <color rgb="FF000000"/>
      <name val="Aptos Display"/>
      <family val="2"/>
    </font>
    <font>
      <b/>
      <sz val="11"/>
      <color theme="1"/>
      <name val="Calibri"/>
      <family val="2"/>
    </font>
    <font>
      <sz val="11"/>
      <color rgb="FF000000"/>
      <name val="Aptos Narrow"/>
      <family val="2"/>
    </font>
    <font>
      <sz val="12"/>
      <color theme="1"/>
      <name val="Times New Roman"/>
      <family val="1"/>
    </font>
    <font>
      <sz val="14"/>
      <color rgb="FF000000"/>
      <name val="Calibri"/>
      <family val="2"/>
    </font>
    <font>
      <sz val="20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theme="4" tint="0.39997558519241921"/>
      </bottom>
      <diagonal/>
    </border>
    <border>
      <left/>
      <right/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theme="4" tint="0.39997558519241921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0"/>
    <xf numFmtId="0" fontId="12" fillId="0" borderId="0" applyNumberForma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164" fontId="0" fillId="3" borderId="1" xfId="1" applyNumberFormat="1" applyFont="1" applyFill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5" xfId="0" applyBorder="1"/>
    <xf numFmtId="0" fontId="0" fillId="0" borderId="14" xfId="0" applyBorder="1"/>
    <xf numFmtId="0" fontId="0" fillId="0" borderId="4" xfId="0" applyBorder="1"/>
    <xf numFmtId="0" fontId="6" fillId="6" borderId="1" xfId="3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5" borderId="17" xfId="2" applyBorder="1"/>
    <xf numFmtId="0" fontId="5" fillId="5" borderId="10" xfId="2" applyBorder="1"/>
    <xf numFmtId="0" fontId="10" fillId="0" borderId="0" xfId="0" applyFont="1" applyAlignment="1">
      <alignment horizontal="center" vertical="center"/>
    </xf>
    <xf numFmtId="0" fontId="12" fillId="0" borderId="1" xfId="5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8" xfId="0" applyBorder="1"/>
    <xf numFmtId="0" fontId="12" fillId="0" borderId="1" xfId="5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5" fontId="12" fillId="0" borderId="1" xfId="5" applyNumberForma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2" fillId="0" borderId="1" xfId="5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1" fontId="10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0" borderId="22" xfId="0" applyBorder="1" applyAlignment="1">
      <alignment horizontal="center"/>
    </xf>
    <xf numFmtId="166" fontId="2" fillId="0" borderId="1" xfId="0" applyNumberFormat="1" applyFont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 indent="1"/>
    </xf>
    <xf numFmtId="0" fontId="4" fillId="3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 indent="1"/>
    </xf>
    <xf numFmtId="14" fontId="0" fillId="0" borderId="1" xfId="0" applyNumberFormat="1" applyBorder="1" applyAlignment="1">
      <alignment horizontal="left" indent="3"/>
    </xf>
    <xf numFmtId="0" fontId="4" fillId="3" borderId="1" xfId="0" applyFont="1" applyFill="1" applyBorder="1" applyAlignment="1">
      <alignment horizontal="left"/>
    </xf>
    <xf numFmtId="0" fontId="0" fillId="9" borderId="1" xfId="0" applyFill="1" applyBorder="1" applyAlignment="1">
      <alignment horizontal="left" indent="2"/>
    </xf>
    <xf numFmtId="0" fontId="0" fillId="9" borderId="1" xfId="0" applyFill="1" applyBorder="1"/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66" fontId="4" fillId="0" borderId="18" xfId="0" applyNumberFormat="1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3" xfId="0" applyBorder="1"/>
    <xf numFmtId="0" fontId="0" fillId="0" borderId="24" xfId="0" applyBorder="1"/>
    <xf numFmtId="0" fontId="12" fillId="10" borderId="1" xfId="5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166" fontId="2" fillId="12" borderId="1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166" fontId="1" fillId="2" borderId="32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0" fontId="7" fillId="11" borderId="1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10" fillId="0" borderId="17" xfId="0" applyNumberFormat="1" applyFont="1" applyBorder="1" applyAlignment="1">
      <alignment horizontal="center" vertical="center"/>
    </xf>
    <xf numFmtId="166" fontId="2" fillId="0" borderId="17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2" borderId="34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2" fillId="12" borderId="16" xfId="5" applyFill="1" applyBorder="1" applyAlignment="1">
      <alignment horizontal="center" vertical="center"/>
    </xf>
    <xf numFmtId="0" fontId="12" fillId="4" borderId="1" xfId="5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22" fillId="0" borderId="0" xfId="0" applyFont="1" applyAlignment="1">
      <alignment horizontal="center"/>
    </xf>
    <xf numFmtId="168" fontId="2" fillId="0" borderId="17" xfId="0" applyNumberFormat="1" applyFont="1" applyBorder="1" applyAlignment="1">
      <alignment horizontal="center" vertical="center"/>
    </xf>
    <xf numFmtId="1" fontId="23" fillId="0" borderId="17" xfId="0" applyNumberFormat="1" applyFont="1" applyBorder="1" applyAlignment="1">
      <alignment horizontal="center" vertical="center"/>
    </xf>
    <xf numFmtId="0" fontId="12" fillId="0" borderId="0" xfId="5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1" fillId="2" borderId="34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165" fontId="25" fillId="3" borderId="1" xfId="5" applyNumberFormat="1" applyFont="1" applyFill="1" applyBorder="1" applyAlignment="1">
      <alignment horizontal="center" vertical="center"/>
    </xf>
    <xf numFmtId="165" fontId="25" fillId="0" borderId="1" xfId="5" applyNumberFormat="1" applyFont="1" applyBorder="1" applyAlignment="1">
      <alignment horizontal="center" vertical="center"/>
    </xf>
    <xf numFmtId="0" fontId="25" fillId="0" borderId="1" xfId="5" applyFont="1" applyBorder="1" applyAlignment="1">
      <alignment horizontal="center"/>
    </xf>
    <xf numFmtId="0" fontId="25" fillId="3" borderId="1" xfId="5" applyFont="1" applyFill="1" applyBorder="1" applyAlignment="1">
      <alignment horizontal="center"/>
    </xf>
    <xf numFmtId="0" fontId="25" fillId="3" borderId="36" xfId="5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4" fontId="4" fillId="3" borderId="3" xfId="1" applyNumberFormat="1" applyFont="1" applyFill="1" applyBorder="1" applyAlignment="1">
      <alignment horizontal="center" vertical="center"/>
    </xf>
    <xf numFmtId="164" fontId="4" fillId="3" borderId="6" xfId="1" applyNumberFormat="1" applyFont="1" applyFill="1" applyBorder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6">
    <cellStyle name="Bad" xfId="3" builtinId="27"/>
    <cellStyle name="Comma" xfId="1" builtinId="3"/>
    <cellStyle name="Good" xfId="2" builtinId="26"/>
    <cellStyle name="Hyperlink" xfId="5" builtinId="8"/>
    <cellStyle name="Normal" xfId="0" builtinId="0"/>
    <cellStyle name="Normal 2" xfId="4" xr:uid="{6C581979-ACC2-437A-B7FD-66381C52EDEF}"/>
  </cellStyles>
  <dxfs count="4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alignment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F800]dddd\,\ mmmm\ dd\,\ 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-F800]dddd\,\ mmmm\ dd\,\ 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[$-409]d\-mmm\-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9FF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hael L. AlSubaie" refreshedDate="45722.114693981479" createdVersion="8" refreshedVersion="8" minRefreshableVersion="3" recordCount="255" xr:uid="{65177407-6358-4F61-A125-3FD3939272FA}">
  <cacheSource type="worksheet">
    <worksheetSource name="Table135"/>
  </cacheSource>
  <cacheFields count="20">
    <cacheField name="Name" numFmtId="0">
      <sharedItems count="255">
        <s v="Abbas Omar Mohamed Ali"/>
        <s v="Abdallh Magdy"/>
        <s v="Abdul Rahman Ismail"/>
        <s v="Abdulbaqi Hamed"/>
        <s v="Abdullah aldakheel"/>
        <s v="Abeer Alkhouli"/>
        <s v="Ahmad ElFadil"/>
        <s v="AHMED Mustafa Mahmmod Alqadi"/>
        <s v="Ali Ahmed Fathallah Nasser"/>
        <s v="Ali Sadeq"/>
        <s v="Amani Al-Zabali"/>
        <s v="Amr Alsanosy"/>
        <s v="AMR AHMED"/>
        <s v="Amro Siddig Salih Elmahi Gandour"/>
        <s v="Anas Omar Alhares"/>
        <s v="Asmaa AlShahrani"/>
        <s v="Aya Abbas "/>
        <s v="Badr Eldin Babkir"/>
        <s v="Elkhatem Adam"/>
        <s v="Fatimah haddadi"/>
        <s v="Fatimh almarshed"/>
        <s v="Ghada Al-Baqmi"/>
        <s v="Hady Barakat"/>
        <s v="Hana Ali"/>
        <s v="Hanan AL mutiry"/>
        <s v="Hany Mohamed Mansour"/>
        <s v="Hazem Atef Amin Bendary"/>
        <s v="Hesham  Selim  "/>
        <s v="Hisham Fadhallah"/>
        <s v="Hisham Sanad"/>
        <s v="HUDA ALANAZI"/>
        <s v="Ibrahim  Mohammed "/>
        <s v="Islam El-Sayed Zaki"/>
        <s v="Islam Mohammed"/>
        <s v="Khaled Salah "/>
        <s v="Lamya Mohammed"/>
        <s v="Latifa Safar Al-Shalawi"/>
        <s v="Mahmoud Zaki"/>
        <s v="Maria alghoson"/>
        <s v="Mashaael Al-Sebai"/>
        <s v="May AlEissa"/>
        <s v="Mazin MohammedKhir"/>
        <s v="Mehsnah alyami"/>
        <s v="Mohamed Faisal Hussein Baday"/>
        <s v="Mohammed Abdallah Fadil"/>
        <s v="Mohammed  Mohye Aldein"/>
        <s v="Mohammed AlQahtani"/>
        <s v="Mohammed Hamed"/>
        <s v="Mohammed Ibrahim Mohammed"/>
        <s v="Mohammed Jafer"/>
        <s v="Mohammed Mustafa Al-Daly"/>
        <s v="Mostafa Moussa Ahmed Moussa"/>
        <s v="Musab Hassan"/>
        <s v="Mustafa Alnmar "/>
        <s v="Naif AlHafi"/>
        <s v="Najah Al-Muteri"/>
        <s v="Omar Azab "/>
        <s v="Omar Jebrel "/>
        <s v="Osama Alaaeldin Mohamed"/>
        <s v="OSAMA IBRAHIM"/>
        <s v="Raghad alturki"/>
        <s v="Rana Ahmed "/>
        <s v="Raseel alharthi"/>
        <s v="Rawabi allawaimi"/>
        <s v="Razan Kushar"/>
        <s v="Reem Almalki "/>
        <s v="Reem alotaibi"/>
        <s v="_x000a_Rahaf A. Alhumaide"/>
        <s v="Reemh Saad  Aldossri"/>
        <s v="Saleh M. Al-Jakhideb"/>
        <s v="Sayed Magd El din"/>
        <s v="Seham alzahrani"/>
        <s v="Shuruq AlSaheli"/>
        <s v="Tawfiq Samir Abd ELWAHAB"/>
        <s v="Wafi Noah"/>
        <s v="Wardah A. Alshahrani"/>
        <s v="Yahya M. Al-Bishi"/>
        <s v="Mahmoud Mamdoh"/>
        <s v="Mohammed AlShehri"/>
        <s v="Mahmmod Abo Almjd"/>
        <s v="Youssef Wael Farag"/>
        <s v="Khaled FARH"/>
        <s v="TAHA MOHAMAD "/>
        <s v="Amira Al-Dhafri"/>
        <s v="Aisha Al-Asmari"/>
        <s v="Fatima Al-Qahtani"/>
        <s v="Isammaldin Mohammed"/>
        <s v="Rawan Musa Qasim"/>
        <s v="Abdul Rahman Dhafer Al-Shahrani"/>
        <s v="Nouf Jaber Al-Suhaimi"/>
        <s v="Asmaa Al-Anazi"/>
        <s v="NaJlaa Al-Tayyar"/>
        <s v="Alhanouf Almarzouk"/>
        <s v="Fala Dhahi Alharbi"/>
        <s v="Shdun AlFraih"/>
        <s v="Abdulaziz Alanzi"/>
        <s v="Naif Al-Anzi"/>
        <s v="Rowan Al-Subaie"/>
        <s v="Mohammed Alghamdi"/>
        <s v="Ftoon Bader Saad Alrawily"/>
        <s v="Sara Ibrahim Alafif"/>
        <s v="Saad Al-Subaie"/>
        <s v="Abdullah Alofi "/>
        <s v="Belal Jlelati "/>
        <s v="Falah Abdullah Alsubaie"/>
        <s v="Sarra Mohamed Elhassan Elsayed Mukhtar"/>
        <s v="Abdullah alqhtani"/>
        <s v="Bader alotaibe"/>
        <s v="Hatim alotaibe "/>
        <s v="yazeed alqhtani"/>
        <s v="Abdullah alateer "/>
        <s v="Ahmed Algamdi"/>
        <s v="Ali Alkanani "/>
        <s v="Othman Sager                  "/>
        <s v="khalid Alwaleed "/>
        <s v="Fahad shamah"/>
        <s v="Mutlaq  Asiri"/>
        <s v="Osman  Bakri"/>
        <s v="Imad Al-Din Abdullah"/>
        <s v="Muhanad Saad Al-Otaibi"/>
        <s v="mnoseer al frhod"/>
        <s v="Nawaf Alrayyani"/>
        <s v="AbdulMalik AlMusnid"/>
        <s v="Mohammed Fathalddin"/>
        <s v="Ayman Altoum"/>
        <s v="AbulFattah Hassan"/>
        <s v="Ahmad Ishag "/>
        <s v="Riman Al-Johani"/>
        <s v="Mustafa Hasab"/>
        <s v="bander aldosri"/>
        <s v="Ahmed  Dafaaldeen"/>
        <s v="Ahmed Mustfa"/>
        <s v="Mohamed Youssef"/>
        <s v="Shahad N. Alyahya"/>
        <s v="Nasser S. Alqarni"/>
        <s v="Rehab Alghamdi "/>
        <s v="Anas Almasoudi "/>
        <s v="Ibrahim Almalki"/>
        <s v="Maha Alshalan"/>
        <s v="Mohammed Albaqmi"/>
        <s v="Abdulmalik Al Zahrani"/>
        <s v="Faisal Almutairi"/>
        <s v="Albaraa Aldurayhim"/>
        <s v="Reem Alamri"/>
        <s v="Osama Ali"/>
        <s v="Mohammed altaf"/>
        <s v="ahmed siddig"/>
        <s v="rowa alsadig"/>
        <s v="samr mohammed"/>
        <s v="Norah al farraj"/>
        <s v="Abdulmohsen Al-Qahtani"/>
        <s v="Ahmed Hashim Mostafa"/>
        <s v="Mojahed Sayed"/>
        <s v="amjad alnajey"/>
        <s v="afnan alotibi"/>
        <s v="renad alkaak"/>
        <s v="Mohammed FALAH ALBURAYK"/>
        <s v="Mohammed Saud Alsulami"/>
        <s v="Mohammed Obaid Al-Mutairi"/>
        <s v="muhanad mansur"/>
        <s v="Mohammed AlSayf"/>
        <s v="Hilal Al Mutairi"/>
        <s v="Waleed Alomari"/>
        <s v="Sanad Alshammari"/>
        <s v="maha alkhaldi"/>
        <s v="samy mohameed"/>
        <s v="khalid alotibi"/>
        <s v="fahad alrwais"/>
        <s v="abdulaziz almutlaq"/>
        <s v="mohammed alshebani"/>
        <s v="Bayan Al-Ghamdi"/>
        <s v="Walaa Yousef Ali"/>
        <s v="Tasneem Eidlan"/>
        <s v="Mohammed Yousef Sheikh"/>
        <s v="alanood alghamdi"/>
        <s v="esam aldeen osman"/>
        <s v="abdullah aqeel"/>
        <s v="Atheer Saad AlQarni"/>
        <s v="Ahmed Elshazly "/>
        <s v="Mohammed Akthum"/>
        <s v="Reem Al-Sour"/>
        <s v="MOHAMMEDALOSHAYAN"/>
        <s v="lama alqhtani"/>
        <s v="munira alhajri"/>
        <s v="Faisal Almorki"/>
        <s v="abdulmajeed  alhomaidhi"/>
        <s v="fahad alotibi"/>
        <s v="Waad Al-Otaibi"/>
        <s v="Afnan Alhumaidy"/>
        <s v="Abdulaziz Al-Sahli"/>
        <s v="Bander Al-Hilali"/>
        <s v="Abdullah Al-Sharif"/>
        <s v="Abeer Khaled"/>
        <s v="Wijdan Al-Asab"/>
        <s v="Abdullah Zamzami"/>
        <s v="Abdullah Al-Anzi"/>
        <s v="Moataz Ibrahim"/>
        <s v="Suliman Alomran"/>
        <s v="Rakan Almalki"/>
        <s v="Ahad Al-Zahrani"/>
        <s v="Sumaya Ali"/>
        <s v="Reem Barakat"/>
        <s v="Jawaher Al-Sultan"/>
        <s v="Buthaina Hamad Al-Sulami"/>
        <s v="Shmamael Alenzi"/>
        <s v="NOFA ALDOSSARI"/>
        <s v="Fares Aboud"/>
        <s v="Talal AL-ghadhban"/>
        <s v="Mohammad Ramdhan"/>
        <s v="Abdulaziz Faiz"/>
        <s v="Safa Gobarh"/>
        <s v="Abdulaziz Al-Otaibi"/>
        <s v="Ghufran Al-Jabri"/>
        <s v="Esra Hafazi"/>
        <s v="Atiyaf Al-Jadani"/>
        <s v="Rasha Al-Shaya"/>
        <s v="Mohammed Al-Ajrad"/>
        <s v="Abdulrahman Al-Ghamdi"/>
        <s v="Reem Al-Urayni"/>
        <s v="Abdulrahman Al-Mubarak"/>
        <s v="Nora b Maamar"/>
        <s v="Amal Al-Bladi"/>
        <s v="Abdullah Ali Jamal"/>
        <s v="Yasser Othman"/>
        <s v="Turki Hassan Al-Shahri"/>
        <s v="Asmaa Mubarak Al-Zahrani"/>
        <s v="Layan Ahmed Al-Shahri"/>
        <s v="Sattam Rizqallah Al-Daadi"/>
        <s v="Amal Jaber Al-Mary"/>
        <s v="Mohammed Hashem Al-Muslim"/>
        <s v="Musab Al-Sheikh"/>
        <s v="Mohammed Qusai"/>
        <s v="Abu Bakr Suleiman"/>
        <s v="Osama Ahmed"/>
        <s v="Mohammed Barakat Ahmed"/>
        <s v="Bashir Al-Bashir"/>
        <s v="Ali Khalid"/>
        <s v="Areej Al-Dosari"/>
        <s v="Hatoon Al-Mohamadi"/>
        <s v="Mohammed Zakaria"/>
        <s v="Abdulaziz Al-Ansari"/>
        <s v="Malik Al-Khuthlan"/>
        <s v="Mohammed Abdulazim"/>
        <s v="Mohammed Majed Al-Jwaiser"/>
        <s v="Abdullah Al-Shaqrout"/>
        <s v="Khaled Al-Sharif"/>
        <s v="Ahmed Al-Zahrani"/>
        <s v="Shurooq Al-Harbi"/>
        <s v="Waleed Hassan"/>
        <s v="Anas Al-Mazrou"/>
        <s v="Abdulrahman Al-Zahrani"/>
        <s v="MOATH  Al-Hakami"/>
        <s v="Afnan Mohammed Noura"/>
        <s v="Omar Hamid"/>
        <s v="Amal Al-Qahtani"/>
      </sharedItems>
    </cacheField>
    <cacheField name="Gender" numFmtId="0">
      <sharedItems/>
    </cacheField>
    <cacheField name="Role" numFmtId="0">
      <sharedItems/>
    </cacheField>
    <cacheField name="Job Title" numFmtId="0">
      <sharedItems containsBlank="1"/>
    </cacheField>
    <cacheField name="Years of Experience" numFmtId="0">
      <sharedItems containsBlank="1" containsMixedTypes="1" containsNumber="1" containsInteger="1" minValue="0" maxValue="0"/>
    </cacheField>
    <cacheField name="Team" numFmtId="0">
      <sharedItems containsBlank="1"/>
    </cacheField>
    <cacheField name="Shift" numFmtId="0">
      <sharedItems/>
    </cacheField>
    <cacheField name="Company" numFmtId="0">
      <sharedItems count="7">
        <s v="AlQotr"/>
        <s v="Dar Al Riyadh"/>
        <s v="Alkan "/>
        <s v="Atheeb Intergraph"/>
        <s v="FTE"/>
        <s v="OS"/>
        <s v="Holool Aloula "/>
      </sharedItems>
    </cacheField>
    <cacheField name="Joined " numFmtId="0">
      <sharedItems containsBlank="1" count="5">
        <s v="Joined "/>
        <s v="resignation"/>
        <s v="withdrawal form work "/>
        <s v="in progress "/>
        <m u="1"/>
      </sharedItems>
    </cacheField>
    <cacheField name="Date of join" numFmtId="166">
      <sharedItems containsNonDate="0" containsDate="1" containsString="0" containsBlank="1" minDate="2023-06-04T00:00:00" maxDate="2025-03-24T00:00:00" count="90">
        <d v="2024-04-02T00:00:00"/>
        <d v="2024-08-25T00:00:00"/>
        <d v="2024-05-19T00:00:00"/>
        <d v="2024-06-02T00:00:00"/>
        <d v="2024-03-11T00:00:00"/>
        <d v="2024-04-28T00:00:00"/>
        <d v="2024-04-15T00:00:00"/>
        <d v="2024-05-26T00:00:00"/>
        <d v="2024-04-04T00:00:00"/>
        <d v="2023-07-09T00:00:00"/>
        <d v="2024-03-03T00:00:00"/>
        <d v="2024-01-09T00:00:00"/>
        <d v="2024-05-01T00:00:00"/>
        <d v="2024-05-04T00:00:00"/>
        <d v="2024-04-25T00:00:00"/>
        <d v="2024-05-14T00:00:00"/>
        <d v="2024-01-29T00:00:00"/>
        <d v="2024-01-07T00:00:00"/>
        <d v="2024-05-20T00:00:00"/>
        <d v="2024-07-01T00:00:00"/>
        <d v="2024-07-28T00:00:00"/>
        <d v="2023-06-04T00:00:00"/>
        <d v="2024-03-31T00:00:00"/>
        <d v="2024-01-14T00:00:00"/>
        <d v="2024-04-14T00:00:00"/>
        <d v="2024-07-07T00:00:00"/>
        <d v="2024-05-22T00:00:00"/>
        <d v="2024-02-29T00:00:00"/>
        <d v="2024-05-09T00:00:00"/>
        <d v="2024-07-18T00:00:00"/>
        <d v="2023-12-20T00:00:00"/>
        <d v="2024-03-12T00:00:00"/>
        <d v="2024-03-17T00:00:00"/>
        <d v="2024-05-11T00:00:00"/>
        <d v="2024-03-28T00:00:00"/>
        <m/>
        <d v="2023-11-10T00:00:00"/>
        <d v="2024-08-05T00:00:00"/>
        <d v="2024-08-01T00:00:00"/>
        <d v="2024-09-01T00:00:00"/>
        <d v="2024-07-22T00:00:00"/>
        <d v="2024-08-11T00:00:00"/>
        <d v="2024-08-18T00:00:00"/>
        <d v="2024-09-08T00:00:00"/>
        <d v="2024-09-03T00:00:00"/>
        <d v="2024-09-11T00:00:00"/>
        <d v="2024-09-15T00:00:00"/>
        <d v="2024-09-22T00:00:00"/>
        <d v="2024-09-29T00:00:00"/>
        <d v="2024-09-30T00:00:00"/>
        <d v="2024-10-06T00:00:00"/>
        <d v="2024-10-07T00:00:00"/>
        <d v="2024-10-13T00:00:00"/>
        <d v="2024-10-14T00:00:00"/>
        <d v="2024-10-17T00:00:00"/>
        <d v="2024-10-20T00:00:00"/>
        <d v="2024-10-27T00:00:00"/>
        <d v="2024-11-03T00:00:00"/>
        <d v="2024-11-04T00:00:00"/>
        <d v="2024-11-17T00:00:00"/>
        <d v="2024-11-24T00:00:00"/>
        <d v="2024-11-19T00:00:00"/>
        <d v="2024-08-12T00:00:00"/>
        <d v="2024-12-22T00:00:00"/>
        <d v="2025-01-20T00:00:00"/>
        <d v="2025-01-19T00:00:00"/>
        <d v="2025-02-02T00:00:00"/>
        <d v="2025-02-03T00:00:00"/>
        <d v="2025-02-09T00:00:00"/>
        <d v="2025-02-19T00:00:00"/>
        <d v="2025-02-10T00:00:00"/>
        <d v="2025-02-16T00:00:00"/>
        <d v="2025-02-18T00:00:00"/>
        <d v="2025-03-10T00:00:00"/>
        <d v="2025-03-23T00:00:00"/>
        <d v="2025-03-02T00:00:00"/>
        <d v="2025-03-09T00:00:00"/>
        <d v="2025-02-23T00:00:00"/>
        <d v="2025-02-24T00:00:00"/>
        <d v="2025-02-25T00:00:00"/>
        <d v="2025-03-14T00:00:00"/>
        <d v="2025-03-16T00:00:00"/>
        <d v="2025-03-04T00:00:00"/>
        <d v="2025-03-01T00:00:00"/>
        <d v="2025-03-13T00:00:00"/>
        <d v="2025-03-12T00:00:00"/>
        <d v="2025-03-05T00:00:00"/>
        <d v="2025-03-06T00:00:00"/>
        <d v="2025-03-03T00:00:00"/>
        <d v="2025-03-11T00:00:00"/>
      </sharedItems>
      <fieldGroup par="19"/>
    </cacheField>
    <cacheField name="Email" numFmtId="0">
      <sharedItems containsBlank="1"/>
    </cacheField>
    <cacheField name="send Email to C.S &amp; NDA " numFmtId="0">
      <sharedItems containsString="0" containsBlank="1" containsNumber="1" containsInteger="1" minValue="1" maxValue="1"/>
    </cacheField>
    <cacheField name="Creat emil" numFmtId="0">
      <sharedItems containsString="0" containsBlank="1" containsNumber="1" containsInteger="1" minValue="1" maxValue="1"/>
    </cacheField>
    <cacheField name="Platform " numFmtId="0">
      <sharedItems containsString="0" containsBlank="1" containsNumber="1" containsInteger="1" minValue="1" maxValue="1"/>
    </cacheField>
    <cacheField name="ARC GIS" numFmtId="0">
      <sharedItems containsString="0" containsBlank="1" containsNumber="1" containsInteger="1" minValue="1" maxValue="1"/>
    </cacheField>
    <cacheField name="Microsofrt APP " numFmtId="0">
      <sharedItems containsString="0" containsBlank="1" containsNumber="1" containsInteger="1" minValue="1" maxValue="1"/>
    </cacheField>
    <cacheField name="Entry Access " numFmtId="0">
      <sharedItems containsString="0" containsBlank="1" containsNumber="1" containsInteger="1" minValue="1" maxValue="1"/>
    </cacheField>
    <cacheField name="Mobile Number" numFmtId="0">
      <sharedItems containsBlank="1" containsMixedTypes="1" containsNumber="1" containsInteger="1" minValue="500156856" maxValue="5070637781"/>
    </cacheField>
    <cacheField name="Months (Date of join)" numFmtId="0" databaseField="0">
      <fieldGroup base="9">
        <rangePr groupBy="months" startDate="2023-06-04T00:00:00" endDate="2025-03-24T00:00:00"/>
        <groupItems count="14">
          <s v="&lt;6/4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4/2025"/>
        </groupItems>
      </fieldGroup>
    </cacheField>
    <cacheField name="Years (Date of join)" numFmtId="0" databaseField="0">
      <fieldGroup base="9">
        <rangePr groupBy="years" startDate="2023-06-04T00:00:00" endDate="2025-03-24T00:00:00"/>
        <groupItems count="5">
          <s v="&lt;6/4/2023"/>
          <s v="2023"/>
          <s v="2024"/>
          <s v="2025"/>
          <s v="&gt;3/2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x v="0"/>
    <s v="M"/>
    <s v="Supervisor"/>
    <s v="GIS_ANALYSIS"/>
    <s v="15 YR"/>
    <s v="QC DATA"/>
    <s v="Morning"/>
    <x v="0"/>
    <x v="0"/>
    <x v="0"/>
    <s v="aali.c@rer.sa"/>
    <n v="1"/>
    <n v="1"/>
    <n v="1"/>
    <n v="1"/>
    <n v="1"/>
    <n v="1"/>
    <n v="556766758"/>
  </r>
  <r>
    <x v="1"/>
    <s v="M"/>
    <s v="Editor"/>
    <s v="GIS_ANALYSIS"/>
    <s v="4 YR"/>
    <s v="First Registration"/>
    <s v="Morning"/>
    <x v="0"/>
    <x v="0"/>
    <x v="1"/>
    <s v="Amagdy.c@rer.sa"/>
    <n v="1"/>
    <n v="1"/>
    <n v="1"/>
    <n v="1"/>
    <n v="1"/>
    <n v="1"/>
    <n v="5070637781"/>
  </r>
  <r>
    <x v="2"/>
    <s v="M"/>
    <s v="Supervisor"/>
    <s v="GIS_QC"/>
    <s v="11 YR"/>
    <s v="First Registration"/>
    <s v="Morning"/>
    <x v="1"/>
    <x v="0"/>
    <x v="2"/>
    <s v="aismail.c@rer.sa"/>
    <n v="1"/>
    <n v="1"/>
    <n v="1"/>
    <n v="1"/>
    <n v="1"/>
    <n v="1"/>
    <n v="592278030"/>
  </r>
  <r>
    <x v="3"/>
    <s v="M"/>
    <s v="Editor "/>
    <s v="GIS_ANALYSIS"/>
    <s v="6 YR"/>
    <s v="First Registration"/>
    <s v="Morning"/>
    <x v="1"/>
    <x v="0"/>
    <x v="3"/>
    <s v="ahamed.c@rer.sa"/>
    <n v="1"/>
    <n v="1"/>
    <n v="1"/>
    <n v="1"/>
    <n v="1"/>
    <n v="1"/>
    <n v="546147275"/>
  </r>
  <r>
    <x v="4"/>
    <s v="M"/>
    <s v="Supervisor"/>
    <s v="GIS_ANALYSIS"/>
    <m/>
    <s v="Subsequent transaction "/>
    <s v="Morning"/>
    <x v="0"/>
    <x v="1"/>
    <x v="4"/>
    <s v="aaldakheel.c@rer.sa"/>
    <n v="1"/>
    <n v="1"/>
    <n v="1"/>
    <n v="1"/>
    <n v="1"/>
    <n v="1"/>
    <n v="502224367"/>
  </r>
  <r>
    <x v="5"/>
    <s v="F"/>
    <s v="Editor "/>
    <s v="GIS_QC"/>
    <s v="14 YR"/>
    <s v="Urgent"/>
    <s v="Morning"/>
    <x v="2"/>
    <x v="0"/>
    <x v="3"/>
    <s v="aalkhouli.c@rer.sa"/>
    <n v="1"/>
    <n v="1"/>
    <n v="1"/>
    <n v="1"/>
    <n v="1"/>
    <n v="1"/>
    <n v="500156856"/>
  </r>
  <r>
    <x v="6"/>
    <s v="M"/>
    <s v="Supervisor"/>
    <s v="GIS_ANALYSIS"/>
    <s v="5 YR"/>
    <s v="First Registration"/>
    <s v="Morning"/>
    <x v="3"/>
    <x v="0"/>
    <x v="2"/>
    <s v="aelfadil.c@rer.sa"/>
    <n v="1"/>
    <n v="1"/>
    <n v="1"/>
    <n v="1"/>
    <n v="1"/>
    <n v="1"/>
    <n v="578727819"/>
  </r>
  <r>
    <x v="7"/>
    <s v="M"/>
    <s v="Editor "/>
    <s v="GIS_ANALYSIS"/>
    <s v="6 YR "/>
    <s v="First Registration"/>
    <s v="Morning"/>
    <x v="2"/>
    <x v="0"/>
    <x v="5"/>
    <s v="amahmmod.c@rer.sa"/>
    <n v="1"/>
    <n v="1"/>
    <n v="1"/>
    <n v="1"/>
    <n v="1"/>
    <n v="1"/>
    <n v="511063762"/>
  </r>
  <r>
    <x v="8"/>
    <s v="M"/>
    <s v="Editor "/>
    <s v="GIS_ANALYSIS"/>
    <s v="13 YR"/>
    <s v="First Registration"/>
    <s v="Morning"/>
    <x v="0"/>
    <x v="0"/>
    <x v="6"/>
    <s v="anasser.c@rer.sa"/>
    <n v="1"/>
    <n v="1"/>
    <n v="1"/>
    <n v="1"/>
    <n v="1"/>
    <n v="1"/>
    <n v="583002067"/>
  </r>
  <r>
    <x v="9"/>
    <s v="M"/>
    <s v="Editor"/>
    <s v="GIS_QC"/>
    <s v="8 YR "/>
    <s v="Urgent"/>
    <s v="Morning"/>
    <x v="2"/>
    <x v="0"/>
    <x v="2"/>
    <s v="ASadeq.c@rer.sa"/>
    <n v="1"/>
    <n v="1"/>
    <n v="1"/>
    <n v="1"/>
    <n v="1"/>
    <n v="1"/>
    <n v="560206083"/>
  </r>
  <r>
    <x v="10"/>
    <s v="F"/>
    <s v="Editor "/>
    <s v="GIS_ANALYSIS"/>
    <s v="1 YR"/>
    <s v="First Registration"/>
    <s v="Morning"/>
    <x v="3"/>
    <x v="0"/>
    <x v="7"/>
    <s v="aalzabali.c@rer.sa"/>
    <n v="1"/>
    <n v="1"/>
    <n v="1"/>
    <n v="1"/>
    <n v="1"/>
    <n v="1"/>
    <n v="548329304"/>
  </r>
  <r>
    <x v="11"/>
    <s v="M"/>
    <s v="Editor "/>
    <s v="GIS_QC"/>
    <s v="5 YR"/>
    <s v="First Registration"/>
    <s v="Morning"/>
    <x v="3"/>
    <x v="0"/>
    <x v="2"/>
    <s v="aalsanosy.c@rer.sa"/>
    <n v="1"/>
    <n v="1"/>
    <n v="1"/>
    <n v="1"/>
    <n v="1"/>
    <n v="1"/>
    <n v="542812661"/>
  </r>
  <r>
    <x v="12"/>
    <s v="M"/>
    <s v="Supervisor"/>
    <s v="GIS_QC"/>
    <s v="18 YR"/>
    <s v="QC DATA"/>
    <s v="Morning"/>
    <x v="1"/>
    <x v="0"/>
    <x v="6"/>
    <s v="aahmed.c@rer.sa"/>
    <n v="1"/>
    <n v="1"/>
    <n v="1"/>
    <n v="1"/>
    <n v="1"/>
    <n v="1"/>
    <n v="563855447"/>
  </r>
  <r>
    <x v="13"/>
    <s v="M"/>
    <s v="Editor "/>
    <s v="GIS_ANALYSIS"/>
    <m/>
    <s v="First Registration"/>
    <s v="Morning"/>
    <x v="1"/>
    <x v="1"/>
    <x v="8"/>
    <s v="agandour.c@rer.sa"/>
    <n v="1"/>
    <n v="1"/>
    <n v="1"/>
    <n v="1"/>
    <n v="1"/>
    <n v="1"/>
    <n v="559723115"/>
  </r>
  <r>
    <x v="14"/>
    <s v="M"/>
    <s v="Team Lead"/>
    <s v="GIS- CONSULTANT"/>
    <s v="14 YR"/>
    <s v="First Registration"/>
    <s v="Morning"/>
    <x v="0"/>
    <x v="0"/>
    <x v="2"/>
    <s v="aalhares.c@rer.sa"/>
    <n v="1"/>
    <n v="1"/>
    <n v="1"/>
    <n v="1"/>
    <n v="1"/>
    <n v="1"/>
    <n v="570868979"/>
  </r>
  <r>
    <x v="15"/>
    <s v="F"/>
    <s v="Manager"/>
    <s v="Manager"/>
    <m/>
    <s v="Subsequent transaction "/>
    <s v="Morning"/>
    <x v="4"/>
    <x v="0"/>
    <x v="9"/>
    <s v="amalshahrani@rer.sa"/>
    <n v="1"/>
    <n v="1"/>
    <n v="1"/>
    <n v="1"/>
    <n v="1"/>
    <n v="1"/>
    <n v="567018655"/>
  </r>
  <r>
    <x v="16"/>
    <s v="F"/>
    <s v="Editor "/>
    <s v="GIS_ANALYSIS"/>
    <m/>
    <s v="Subsequent transaction "/>
    <s v="Morning"/>
    <x v="2"/>
    <x v="0"/>
    <x v="2"/>
    <s v="aabbas.c@rer.sa"/>
    <n v="1"/>
    <n v="1"/>
    <n v="1"/>
    <n v="1"/>
    <n v="1"/>
    <n v="1"/>
    <n v="567541331"/>
  </r>
  <r>
    <x v="17"/>
    <s v="M"/>
    <s v="Supervisor"/>
    <s v="GIS_ANALYSIS"/>
    <s v="12 YR"/>
    <s v="First Registration"/>
    <s v="Morning"/>
    <x v="0"/>
    <x v="0"/>
    <x v="10"/>
    <s v="bbabkir.c@rer.sa"/>
    <n v="1"/>
    <n v="1"/>
    <n v="1"/>
    <n v="1"/>
    <n v="1"/>
    <n v="1"/>
    <n v="531384164"/>
  </r>
  <r>
    <x v="18"/>
    <s v="M"/>
    <s v="Editor "/>
    <s v="GIS_ANALYSIS"/>
    <s v="4 YR"/>
    <s v="First Registration"/>
    <s v="Morning"/>
    <x v="3"/>
    <x v="0"/>
    <x v="2"/>
    <s v="eadam.c@rer.sa"/>
    <n v="1"/>
    <n v="1"/>
    <n v="1"/>
    <n v="1"/>
    <n v="1"/>
    <n v="1"/>
    <n v="563796229"/>
  </r>
  <r>
    <x v="19"/>
    <s v="F"/>
    <s v="Editor"/>
    <s v="GIS_ANALYSIS"/>
    <n v="0"/>
    <s v="First Registration"/>
    <s v="Morning"/>
    <x v="0"/>
    <x v="0"/>
    <x v="4"/>
    <s v="fhaddadi.c@rer.sa"/>
    <n v="1"/>
    <n v="1"/>
    <n v="1"/>
    <n v="1"/>
    <n v="1"/>
    <n v="1"/>
    <n v="556271056"/>
  </r>
  <r>
    <x v="20"/>
    <s v="F"/>
    <s v="Editor "/>
    <s v="GIS_ANALYSIS"/>
    <n v="0"/>
    <s v="First Registration"/>
    <s v="Morning"/>
    <x v="0"/>
    <x v="0"/>
    <x v="4"/>
    <s v="falmarshed.c@rer.sa"/>
    <n v="1"/>
    <n v="1"/>
    <n v="1"/>
    <n v="1"/>
    <n v="1"/>
    <n v="1"/>
    <n v="557972642"/>
  </r>
  <r>
    <x v="21"/>
    <s v="F"/>
    <s v="Editor "/>
    <s v="GIS_ANALYSIS"/>
    <n v="0"/>
    <s v="Subsequent transaction "/>
    <s v="Morning"/>
    <x v="3"/>
    <x v="0"/>
    <x v="2"/>
    <s v="galbaqmi.c@rer.sa"/>
    <n v="1"/>
    <n v="1"/>
    <n v="1"/>
    <n v="1"/>
    <n v="1"/>
    <n v="1"/>
    <n v="547073464"/>
  </r>
  <r>
    <x v="22"/>
    <s v="M"/>
    <s v="Supervisor"/>
    <m/>
    <m/>
    <s v="Urgent"/>
    <s v="Morning"/>
    <x v="5"/>
    <x v="0"/>
    <x v="11"/>
    <s v="hbarakat@rer.sa"/>
    <n v="1"/>
    <n v="1"/>
    <n v="1"/>
    <n v="1"/>
    <n v="1"/>
    <n v="1"/>
    <n v="560568727"/>
  </r>
  <r>
    <x v="23"/>
    <s v="F"/>
    <s v="Training"/>
    <s v="GIS- CONSULTANT"/>
    <m/>
    <s v="Outreach"/>
    <s v="Morning"/>
    <x v="1"/>
    <x v="0"/>
    <x v="12"/>
    <s v="hali.c@rer.sa"/>
    <n v="1"/>
    <n v="1"/>
    <n v="1"/>
    <n v="1"/>
    <n v="1"/>
    <n v="1"/>
    <n v="582174930"/>
  </r>
  <r>
    <x v="24"/>
    <s v="F"/>
    <s v="Editor "/>
    <s v="GIS_ANALYSIS"/>
    <s v="1 YR 5 MON "/>
    <s v="Subsequent transaction "/>
    <s v="Morning"/>
    <x v="1"/>
    <x v="0"/>
    <x v="13"/>
    <s v="hmalmutiri.c@rer.sa"/>
    <n v="1"/>
    <n v="1"/>
    <n v="1"/>
    <n v="1"/>
    <n v="1"/>
    <n v="1"/>
    <n v="558478865"/>
  </r>
  <r>
    <x v="25"/>
    <s v="M"/>
    <s v="Editor "/>
    <s v="GIS_ANALYSIS"/>
    <s v="8 YR "/>
    <s v="First Registration"/>
    <s v="Morning"/>
    <x v="0"/>
    <x v="0"/>
    <x v="14"/>
    <s v="hmansour.c@rer.sa"/>
    <n v="1"/>
    <n v="1"/>
    <n v="1"/>
    <n v="1"/>
    <n v="1"/>
    <n v="1"/>
    <n v="534659702"/>
  </r>
  <r>
    <x v="26"/>
    <s v="M"/>
    <s v="Supervisor"/>
    <s v="GIS_QC"/>
    <s v="19 YR"/>
    <s v="Subsequent transaction "/>
    <s v="Morning"/>
    <x v="1"/>
    <x v="0"/>
    <x v="0"/>
    <s v="hbendary.c@rer.sa"/>
    <n v="1"/>
    <n v="1"/>
    <n v="1"/>
    <n v="1"/>
    <n v="1"/>
    <n v="1"/>
    <n v="598201197"/>
  </r>
  <r>
    <x v="27"/>
    <s v="M"/>
    <s v="Editor "/>
    <s v="GIS_QC"/>
    <s v="10 YR"/>
    <s v="Urgent"/>
    <s v="Morning"/>
    <x v="2"/>
    <x v="0"/>
    <x v="15"/>
    <s v="hselim.c@rer.sa"/>
    <n v="1"/>
    <n v="1"/>
    <n v="1"/>
    <n v="1"/>
    <n v="1"/>
    <n v="1"/>
    <n v="511064706"/>
  </r>
  <r>
    <x v="28"/>
    <s v="M"/>
    <s v="Supervisor"/>
    <s v="GIS_QC"/>
    <s v="12 YR"/>
    <s v="QC DATA"/>
    <s v="Morning"/>
    <x v="1"/>
    <x v="0"/>
    <x v="0"/>
    <s v="hfadlallah.c@rer.sa"/>
    <n v="1"/>
    <n v="1"/>
    <n v="1"/>
    <n v="1"/>
    <n v="1"/>
    <n v="1"/>
    <n v="570071219"/>
  </r>
  <r>
    <x v="29"/>
    <s v="M"/>
    <s v="Supervisor"/>
    <s v="GIS_ANALYSIS"/>
    <s v="5 YR"/>
    <s v="QC DATA"/>
    <s v="Morning"/>
    <x v="0"/>
    <x v="0"/>
    <x v="16"/>
    <s v="hsanad.c@rer.sa"/>
    <n v="1"/>
    <n v="1"/>
    <n v="1"/>
    <n v="1"/>
    <n v="1"/>
    <n v="1"/>
    <n v="560283592"/>
  </r>
  <r>
    <x v="30"/>
    <s v="F"/>
    <s v="Coordinator"/>
    <s v="GIS_ANALYSIS"/>
    <m/>
    <s v="Coordinator"/>
    <s v="Morning"/>
    <x v="1"/>
    <x v="0"/>
    <x v="5"/>
    <s v="halanazi.c@rer.sa"/>
    <n v="1"/>
    <n v="1"/>
    <n v="1"/>
    <n v="1"/>
    <n v="1"/>
    <n v="1"/>
    <n v="558797847"/>
  </r>
  <r>
    <x v="31"/>
    <s v="M"/>
    <s v="Editor "/>
    <s v="GIS_ANALYSIS"/>
    <s v="5 YR"/>
    <s v="First Registration"/>
    <s v="Morning"/>
    <x v="2"/>
    <x v="0"/>
    <x v="2"/>
    <s v="IKMohammed.c@Rer.sa"/>
    <n v="1"/>
    <n v="1"/>
    <n v="1"/>
    <n v="1"/>
    <n v="1"/>
    <n v="1"/>
    <n v="531350474"/>
  </r>
  <r>
    <x v="32"/>
    <s v="M"/>
    <s v="Supervisor"/>
    <s v="GIS_ANALYSIS"/>
    <m/>
    <s v="First Registration"/>
    <s v="Morning"/>
    <x v="0"/>
    <x v="0"/>
    <x v="0"/>
    <s v="izaki.c@rer.sa"/>
    <n v="1"/>
    <n v="1"/>
    <n v="1"/>
    <n v="1"/>
    <n v="1"/>
    <n v="1"/>
    <n v="537761716"/>
  </r>
  <r>
    <x v="33"/>
    <s v="M"/>
    <s v="Team Lead"/>
    <s v="GIS_QC"/>
    <s v="14 YR"/>
    <s v="First Registration"/>
    <s v="Morning"/>
    <x v="0"/>
    <x v="0"/>
    <x v="17"/>
    <s v="imohammed.c@rer.sa"/>
    <n v="1"/>
    <n v="1"/>
    <n v="1"/>
    <n v="1"/>
    <n v="1"/>
    <n v="1"/>
    <n v="542541973"/>
  </r>
  <r>
    <x v="34"/>
    <s v="M"/>
    <s v="Team Lead"/>
    <s v="GIS_ANALYSIS"/>
    <s v="7 YR"/>
    <s v="First Registration"/>
    <s v="Morning"/>
    <x v="0"/>
    <x v="0"/>
    <x v="18"/>
    <s v="ksalah.c@rer.sa"/>
    <n v="1"/>
    <n v="1"/>
    <n v="1"/>
    <n v="1"/>
    <n v="1"/>
    <n v="1"/>
    <n v="502425943"/>
  </r>
  <r>
    <x v="35"/>
    <s v="F"/>
    <s v="Editor "/>
    <s v="GIS_QC"/>
    <m/>
    <s v="First Registration"/>
    <s v="Morning"/>
    <x v="2"/>
    <x v="0"/>
    <x v="2"/>
    <s v="lmohammed.c@rer.sa"/>
    <n v="1"/>
    <n v="1"/>
    <n v="1"/>
    <n v="1"/>
    <n v="1"/>
    <n v="1"/>
    <n v="565775623"/>
  </r>
  <r>
    <x v="36"/>
    <s v="F"/>
    <s v="Editor "/>
    <s v="GIS_ANALYSIS"/>
    <m/>
    <s v="First Registration"/>
    <s v="Morning"/>
    <x v="0"/>
    <x v="1"/>
    <x v="19"/>
    <s v="lalshalawi.c@rer.sa"/>
    <n v="1"/>
    <n v="1"/>
    <n v="1"/>
    <n v="1"/>
    <n v="1"/>
    <n v="1"/>
    <n v="569142994"/>
  </r>
  <r>
    <x v="37"/>
    <s v="M"/>
    <s v="Supervisor"/>
    <s v="GIS_ANALYSIS"/>
    <s v="7 YR"/>
    <s v="QC DATA"/>
    <s v="Morning"/>
    <x v="0"/>
    <x v="0"/>
    <x v="20"/>
    <s v="mzaki.c@rer.sa"/>
    <n v="1"/>
    <n v="1"/>
    <n v="1"/>
    <n v="1"/>
    <n v="1"/>
    <n v="1"/>
    <n v="500327820"/>
  </r>
  <r>
    <x v="38"/>
    <s v="F"/>
    <s v="Editor "/>
    <s v="GIS_ANALYSIS"/>
    <n v="0"/>
    <s v="Subsequent transaction "/>
    <s v="Morning"/>
    <x v="0"/>
    <x v="0"/>
    <x v="4"/>
    <s v="malghoson.c@rer.sa"/>
    <n v="1"/>
    <n v="1"/>
    <n v="1"/>
    <n v="1"/>
    <n v="1"/>
    <n v="1"/>
    <n v="532102986"/>
  </r>
  <r>
    <x v="39"/>
    <s v="F"/>
    <s v="Coordinator"/>
    <s v="GIS_QC"/>
    <m/>
    <s v="Coordinator"/>
    <s v="Morning"/>
    <x v="0"/>
    <x v="0"/>
    <x v="6"/>
    <s v="malsebai.c@rer.sa"/>
    <n v="1"/>
    <n v="1"/>
    <n v="1"/>
    <n v="1"/>
    <n v="1"/>
    <n v="1"/>
    <n v="507832220"/>
  </r>
  <r>
    <x v="40"/>
    <s v="F"/>
    <s v="Supervisor"/>
    <m/>
    <m/>
    <s v="Urgent"/>
    <s v="Morning"/>
    <x v="5"/>
    <x v="0"/>
    <x v="21"/>
    <s v="maleissa@rer.sa"/>
    <n v="1"/>
    <n v="1"/>
    <n v="1"/>
    <n v="1"/>
    <n v="1"/>
    <n v="1"/>
    <n v="535478675"/>
  </r>
  <r>
    <x v="41"/>
    <s v="M"/>
    <s v="Editor "/>
    <s v="GIS_QC"/>
    <s v="7 YR"/>
    <s v="First Registration"/>
    <s v="Morning"/>
    <x v="3"/>
    <x v="0"/>
    <x v="7"/>
    <s v="mmohammedkhir.c@rer.sa"/>
    <n v="1"/>
    <n v="1"/>
    <n v="1"/>
    <n v="1"/>
    <n v="1"/>
    <n v="1"/>
    <n v="557670332"/>
  </r>
  <r>
    <x v="42"/>
    <s v="F"/>
    <s v="Editor "/>
    <s v="GIS_ANALYSIS"/>
    <n v="0"/>
    <s v="Subsequent transaction "/>
    <s v="Morning"/>
    <x v="0"/>
    <x v="0"/>
    <x v="4"/>
    <s v="malyami.c@rer.sa"/>
    <n v="1"/>
    <n v="1"/>
    <n v="1"/>
    <n v="1"/>
    <n v="1"/>
    <n v="1"/>
    <n v="553449866"/>
  </r>
  <r>
    <x v="43"/>
    <s v="M"/>
    <s v="Supervisor"/>
    <s v="GIS_ANALYSIS"/>
    <s v="9 YR"/>
    <s v="First Registration"/>
    <s v="Morning"/>
    <x v="1"/>
    <x v="0"/>
    <x v="0"/>
    <s v="mbaday.c@rer.sa"/>
    <n v="1"/>
    <n v="1"/>
    <n v="1"/>
    <n v="1"/>
    <n v="1"/>
    <n v="1"/>
    <n v="535274409"/>
  </r>
  <r>
    <x v="44"/>
    <s v="M"/>
    <s v="Editor "/>
    <s v="GIS_QC"/>
    <s v="5 YR"/>
    <s v="First Registration"/>
    <s v="Morning"/>
    <x v="3"/>
    <x v="0"/>
    <x v="7"/>
    <s v="mfadil.c@rer.sa"/>
    <n v="1"/>
    <n v="1"/>
    <n v="1"/>
    <n v="1"/>
    <n v="1"/>
    <n v="1"/>
    <n v="548431032"/>
  </r>
  <r>
    <x v="45"/>
    <s v="M"/>
    <s v="Supervisor"/>
    <s v="GIS_ANALYSIS"/>
    <s v="5 YR"/>
    <s v="QC DATA"/>
    <s v="Morning"/>
    <x v="0"/>
    <x v="0"/>
    <x v="22"/>
    <s v="mosman.c@rer.sa"/>
    <n v="1"/>
    <n v="1"/>
    <n v="1"/>
    <n v="1"/>
    <n v="1"/>
    <n v="1"/>
    <n v="561227819"/>
  </r>
  <r>
    <x v="46"/>
    <s v="M"/>
    <s v="Supervisor"/>
    <s v="GIS_ANALYSIS"/>
    <m/>
    <s v="First Registration"/>
    <s v="Morning"/>
    <x v="0"/>
    <x v="0"/>
    <x v="23"/>
    <s v="malqahtani.c@rer.sa"/>
    <n v="1"/>
    <n v="1"/>
    <n v="1"/>
    <n v="1"/>
    <n v="1"/>
    <n v="1"/>
    <n v="550552884"/>
  </r>
  <r>
    <x v="47"/>
    <s v="M"/>
    <s v="Editor "/>
    <s v="GIS_QC"/>
    <s v="7 YR"/>
    <s v="First Registration"/>
    <s v="Morning"/>
    <x v="2"/>
    <x v="0"/>
    <x v="2"/>
    <s v="MHamed.c@Rer.sa"/>
    <n v="1"/>
    <n v="1"/>
    <n v="1"/>
    <n v="1"/>
    <n v="1"/>
    <n v="1"/>
    <n v="544993782"/>
  </r>
  <r>
    <x v="48"/>
    <s v="M"/>
    <s v="Editor "/>
    <s v="GIS_ANALYSIS"/>
    <s v="4 YR"/>
    <s v="First Registration"/>
    <s v="Morning"/>
    <x v="3"/>
    <x v="0"/>
    <x v="5"/>
    <s v="_x0009__x000a_mmohammed.c@rer.sa"/>
    <n v="1"/>
    <n v="1"/>
    <n v="1"/>
    <n v="1"/>
    <n v="1"/>
    <n v="1"/>
    <n v="501377358"/>
  </r>
  <r>
    <x v="49"/>
    <s v="M"/>
    <s v="Team Lead"/>
    <s v="GIS_ANALYSIS"/>
    <s v="3 YR"/>
    <s v="First Registration"/>
    <s v="Morning"/>
    <x v="0"/>
    <x v="0"/>
    <x v="17"/>
    <s v="mjaafar.c@rer.sa"/>
    <n v="1"/>
    <n v="1"/>
    <n v="1"/>
    <n v="1"/>
    <n v="1"/>
    <n v="1"/>
    <n v="533035809"/>
  </r>
  <r>
    <x v="50"/>
    <s v="M"/>
    <s v="Supervisor"/>
    <s v="GIS_QC"/>
    <s v="17 YR"/>
    <s v="First Registration"/>
    <s v="Morning"/>
    <x v="1"/>
    <x v="0"/>
    <x v="24"/>
    <s v="maldaly.c@rer.sa"/>
    <n v="1"/>
    <n v="1"/>
    <n v="1"/>
    <n v="1"/>
    <n v="1"/>
    <n v="1"/>
    <n v="547738598"/>
  </r>
  <r>
    <x v="51"/>
    <s v="M"/>
    <s v="Editor"/>
    <s v="GIS_ANALYSIS"/>
    <s v="5 YR"/>
    <s v="First Registration"/>
    <s v="Morning"/>
    <x v="0"/>
    <x v="0"/>
    <x v="25"/>
    <s v="mmmoussar.c@rer.sa"/>
    <n v="1"/>
    <n v="1"/>
    <n v="1"/>
    <n v="1"/>
    <n v="1"/>
    <n v="1"/>
    <n v="564412562"/>
  </r>
  <r>
    <x v="52"/>
    <s v="M"/>
    <s v="Supervisor"/>
    <s v="GIS_ANALYSIS"/>
    <s v="8 YR "/>
    <s v="First Registration"/>
    <s v="Morning"/>
    <x v="1"/>
    <x v="0"/>
    <x v="2"/>
    <s v="mhassan.c@rer.sa"/>
    <n v="1"/>
    <n v="1"/>
    <n v="1"/>
    <n v="1"/>
    <n v="1"/>
    <n v="1"/>
    <n v="550684130"/>
  </r>
  <r>
    <x v="53"/>
    <s v="M"/>
    <s v="Editor"/>
    <s v="GIS_QC"/>
    <m/>
    <s v="First Registration"/>
    <s v="Morning"/>
    <x v="3"/>
    <x v="0"/>
    <x v="26"/>
    <s v="malnmar.c@rer.sa"/>
    <n v="1"/>
    <n v="1"/>
    <n v="1"/>
    <n v="1"/>
    <n v="1"/>
    <n v="1"/>
    <n v="534470011"/>
  </r>
  <r>
    <x v="54"/>
    <s v="M"/>
    <s v="Team Lead"/>
    <m/>
    <m/>
    <s v="Urgent"/>
    <s v="Morning"/>
    <x v="4"/>
    <x v="1"/>
    <x v="21"/>
    <s v="nalhafi@rer.sa"/>
    <n v="1"/>
    <n v="1"/>
    <n v="1"/>
    <n v="1"/>
    <n v="1"/>
    <n v="1"/>
    <n v="572061647"/>
  </r>
  <r>
    <x v="55"/>
    <s v="F"/>
    <s v="Editor "/>
    <s v="GIS_ANALYSIS"/>
    <s v="3 YR"/>
    <s v="First Registration"/>
    <s v="Morning"/>
    <x v="0"/>
    <x v="0"/>
    <x v="27"/>
    <s v="nalmuteri.c@rer.sa"/>
    <n v="1"/>
    <n v="1"/>
    <n v="1"/>
    <n v="1"/>
    <n v="1"/>
    <n v="1"/>
    <n v="537463794"/>
  </r>
  <r>
    <x v="56"/>
    <s v="M"/>
    <s v="Editor "/>
    <s v="GIS_ANALYSIS"/>
    <s v="4 YR "/>
    <s v="First Registration"/>
    <s v="Morning"/>
    <x v="2"/>
    <x v="0"/>
    <x v="15"/>
    <s v="oazab.c@rer.sa  "/>
    <n v="1"/>
    <n v="1"/>
    <n v="1"/>
    <n v="1"/>
    <n v="1"/>
    <n v="1"/>
    <n v="503443536"/>
  </r>
  <r>
    <x v="57"/>
    <s v="M"/>
    <s v="Editor "/>
    <s v="GIS_ANALYSIS"/>
    <s v="4 YR "/>
    <s v="Subsequent transaction "/>
    <s v="Morning"/>
    <x v="2"/>
    <x v="0"/>
    <x v="28"/>
    <s v="ojebrel.c@rer.sa"/>
    <n v="1"/>
    <n v="1"/>
    <n v="1"/>
    <n v="1"/>
    <n v="1"/>
    <n v="1"/>
    <n v="503142264"/>
  </r>
  <r>
    <x v="58"/>
    <s v="M"/>
    <s v="Editor"/>
    <s v="GIS_ANALYSIS"/>
    <s v="6 YR"/>
    <s v="Urgent"/>
    <s v="Morning"/>
    <x v="0"/>
    <x v="0"/>
    <x v="29"/>
    <s v="omohamed.c@rer.sa"/>
    <n v="1"/>
    <n v="1"/>
    <n v="1"/>
    <n v="1"/>
    <n v="1"/>
    <n v="1"/>
    <n v="501606607"/>
  </r>
  <r>
    <x v="59"/>
    <s v="M"/>
    <s v="Editor "/>
    <s v="GIS_ANALYSIS"/>
    <s v="4 YR"/>
    <s v="Subsequent transaction "/>
    <s v="Morning"/>
    <x v="1"/>
    <x v="0"/>
    <x v="5"/>
    <s v="oibrahim.c@rer.sa"/>
    <n v="1"/>
    <n v="1"/>
    <n v="1"/>
    <n v="1"/>
    <n v="1"/>
    <n v="1"/>
    <n v="598910852"/>
  </r>
  <r>
    <x v="60"/>
    <s v="F"/>
    <s v="Editor "/>
    <s v="GIS_ANALYSIS"/>
    <m/>
    <s v="First Registration"/>
    <s v="Morning"/>
    <x v="0"/>
    <x v="1"/>
    <x v="4"/>
    <s v="ralturki.c@rer.sa"/>
    <n v="1"/>
    <n v="1"/>
    <n v="1"/>
    <n v="1"/>
    <n v="1"/>
    <n v="1"/>
    <n v="546401825"/>
  </r>
  <r>
    <x v="61"/>
    <s v="F"/>
    <s v="Data"/>
    <s v="GIS_ANALYSIS"/>
    <m/>
    <s v="Data"/>
    <s v="Morning"/>
    <x v="2"/>
    <x v="0"/>
    <x v="15"/>
    <s v="rahmed.c@rer.sa"/>
    <n v="1"/>
    <n v="1"/>
    <n v="1"/>
    <n v="1"/>
    <n v="1"/>
    <n v="1"/>
    <n v="539806524"/>
  </r>
  <r>
    <x v="62"/>
    <s v="F"/>
    <s v="Editor "/>
    <s v="GIS_ANALYSIS"/>
    <n v="0"/>
    <s v="Urgent"/>
    <s v="Morning"/>
    <x v="0"/>
    <x v="0"/>
    <x v="4"/>
    <s v="ralharthi.c@rer.sa"/>
    <n v="1"/>
    <n v="1"/>
    <n v="1"/>
    <n v="1"/>
    <n v="1"/>
    <n v="1"/>
    <n v="539445012"/>
  </r>
  <r>
    <x v="63"/>
    <s v="F"/>
    <s v="Editor "/>
    <s v="GIS_ANALYSIS"/>
    <s v="2 YR"/>
    <s v="First Registration"/>
    <s v="Morning"/>
    <x v="0"/>
    <x v="0"/>
    <x v="4"/>
    <s v="rallawaimi.c@rer.sa"/>
    <n v="1"/>
    <n v="1"/>
    <n v="1"/>
    <n v="1"/>
    <n v="1"/>
    <n v="1"/>
    <n v="557311189"/>
  </r>
  <r>
    <x v="64"/>
    <s v="F"/>
    <s v="Supervisor"/>
    <s v="GIS_ANALYSIS"/>
    <m/>
    <s v="Urgent"/>
    <s v="Morning"/>
    <x v="0"/>
    <x v="1"/>
    <x v="30"/>
    <s v="rkushar.c@rer.sa"/>
    <n v="1"/>
    <n v="1"/>
    <n v="1"/>
    <n v="1"/>
    <n v="1"/>
    <n v="1"/>
    <n v="533820604"/>
  </r>
  <r>
    <x v="65"/>
    <s v="F"/>
    <s v="Editor "/>
    <s v="GIS_ANALYSIS"/>
    <n v="0"/>
    <s v="Subsequent transaction "/>
    <s v="Morning"/>
    <x v="0"/>
    <x v="0"/>
    <x v="31"/>
    <s v="ralmalki.c@rer.sa"/>
    <n v="1"/>
    <n v="1"/>
    <n v="1"/>
    <n v="1"/>
    <n v="1"/>
    <n v="1"/>
    <n v="559518370"/>
  </r>
  <r>
    <x v="66"/>
    <s v="F"/>
    <s v="Editor "/>
    <s v="GIS_ANALYSIS"/>
    <s v="0 YR"/>
    <s v="First Registration"/>
    <s v="Morning"/>
    <x v="0"/>
    <x v="0"/>
    <x v="4"/>
    <s v="ralotaibi.c@rer.sa"/>
    <n v="1"/>
    <n v="1"/>
    <n v="1"/>
    <n v="1"/>
    <n v="1"/>
    <n v="1"/>
    <n v="509118972"/>
  </r>
  <r>
    <x v="67"/>
    <s v="F"/>
    <s v="Editor "/>
    <s v="GIS_ANALYSIS"/>
    <n v="0"/>
    <s v="Subsequent transaction "/>
    <s v="Morning"/>
    <x v="0"/>
    <x v="0"/>
    <x v="12"/>
    <s v="_x0009__x000a_ralhumaide.c@rer.sa"/>
    <n v="1"/>
    <n v="1"/>
    <n v="1"/>
    <n v="1"/>
    <n v="1"/>
    <n v="1"/>
    <n v="570699972"/>
  </r>
  <r>
    <x v="68"/>
    <s v="F"/>
    <s v="Supervisor"/>
    <s v="GIS_ANALYSIS"/>
    <n v="0"/>
    <s v="Subsequent transaction "/>
    <s v="Morning"/>
    <x v="0"/>
    <x v="0"/>
    <x v="32"/>
    <s v="raldossri.c@rer.sa"/>
    <n v="1"/>
    <n v="1"/>
    <n v="1"/>
    <n v="1"/>
    <n v="1"/>
    <n v="1"/>
    <n v="551831073"/>
  </r>
  <r>
    <x v="69"/>
    <s v="M"/>
    <s v="Supervisor"/>
    <s v="GIS_ANALYSIS"/>
    <m/>
    <s v="Urgent"/>
    <s v="Morning"/>
    <x v="0"/>
    <x v="1"/>
    <x v="33"/>
    <s v="saljakhideb.c@rer.sa"/>
    <n v="1"/>
    <n v="1"/>
    <n v="1"/>
    <n v="1"/>
    <n v="1"/>
    <n v="1"/>
    <n v="592952378"/>
  </r>
  <r>
    <x v="70"/>
    <s v="M"/>
    <s v="Editor"/>
    <s v="GIS_ANALYSIS"/>
    <s v="2 YR"/>
    <s v="First Registration"/>
    <s v="Morning"/>
    <x v="0"/>
    <x v="0"/>
    <x v="34"/>
    <s v="seldin.c@rer.sa"/>
    <n v="1"/>
    <n v="1"/>
    <n v="1"/>
    <n v="1"/>
    <n v="1"/>
    <n v="1"/>
    <n v="530721959"/>
  </r>
  <r>
    <x v="71"/>
    <s v="F"/>
    <s v="Editor "/>
    <s v="GIS_ANALYSIS"/>
    <m/>
    <s v="Urgent"/>
    <s v="Morning"/>
    <x v="0"/>
    <x v="1"/>
    <x v="4"/>
    <s v="salzahrani.c@rer.sa"/>
    <n v="1"/>
    <n v="1"/>
    <n v="1"/>
    <n v="1"/>
    <n v="1"/>
    <n v="1"/>
    <n v="570165566"/>
  </r>
  <r>
    <x v="72"/>
    <s v="F"/>
    <s v="Supervisor"/>
    <m/>
    <m/>
    <s v="Urgent"/>
    <s v="Morning"/>
    <x v="5"/>
    <x v="0"/>
    <x v="21"/>
    <s v="salsaheli@rer.sa"/>
    <n v="1"/>
    <n v="1"/>
    <n v="1"/>
    <n v="1"/>
    <n v="1"/>
    <n v="1"/>
    <n v="592282727"/>
  </r>
  <r>
    <x v="73"/>
    <s v="M"/>
    <s v="Supervisor"/>
    <s v="GIS_QC"/>
    <s v="14 YR"/>
    <s v="First Registration"/>
    <s v="Morning"/>
    <x v="1"/>
    <x v="0"/>
    <x v="0"/>
    <s v="ttelwahab.c@rer.sa"/>
    <n v="1"/>
    <n v="1"/>
    <n v="1"/>
    <n v="1"/>
    <n v="1"/>
    <n v="1"/>
    <n v="545919125"/>
  </r>
  <r>
    <x v="74"/>
    <s v="M"/>
    <s v="Editor "/>
    <s v="GIS_ANALYSIS"/>
    <s v="3 YR"/>
    <s v="Urgent"/>
    <s v="Morning"/>
    <x v="3"/>
    <x v="0"/>
    <x v="2"/>
    <s v="wnoah.c@rer.sa"/>
    <n v="1"/>
    <n v="1"/>
    <n v="1"/>
    <n v="1"/>
    <n v="1"/>
    <n v="1"/>
    <n v="558805130"/>
  </r>
  <r>
    <x v="75"/>
    <s v="M"/>
    <s v="Editor "/>
    <s v="GIS_ANALYSIS"/>
    <s v="1 YR"/>
    <s v="Urgent"/>
    <s v="Morning"/>
    <x v="0"/>
    <x v="0"/>
    <x v="13"/>
    <s v="walshahrani.c@rer.sa"/>
    <n v="1"/>
    <n v="1"/>
    <n v="1"/>
    <n v="1"/>
    <n v="1"/>
    <n v="1"/>
    <n v="559270998"/>
  </r>
  <r>
    <x v="76"/>
    <s v="M"/>
    <s v="Editor "/>
    <s v="GIS_ANALYSIS"/>
    <m/>
    <s v="First Registration"/>
    <s v="Morning"/>
    <x v="0"/>
    <x v="1"/>
    <x v="33"/>
    <s v="_x0009__x000a_yalbishi.c@rer.sa"/>
    <n v="1"/>
    <n v="1"/>
    <n v="1"/>
    <n v="1"/>
    <n v="1"/>
    <n v="1"/>
    <n v="504816212"/>
  </r>
  <r>
    <x v="77"/>
    <s v="M"/>
    <s v="Editor"/>
    <s v="GIS_ANALYSIS"/>
    <s v="7 YR"/>
    <s v="Urgent"/>
    <s v="Morning"/>
    <x v="0"/>
    <x v="0"/>
    <x v="3"/>
    <s v="mmamdoh.c@rer.sa_x000a_"/>
    <n v="1"/>
    <n v="1"/>
    <n v="1"/>
    <n v="1"/>
    <n v="1"/>
    <n v="1"/>
    <n v="530542361"/>
  </r>
  <r>
    <x v="78"/>
    <s v="M"/>
    <s v="Manager"/>
    <s v="Manager"/>
    <m/>
    <s v="First Registration"/>
    <s v="Morning"/>
    <x v="4"/>
    <x v="0"/>
    <x v="35"/>
    <s v="maalshehri@rer.sa"/>
    <n v="1"/>
    <n v="1"/>
    <n v="1"/>
    <n v="1"/>
    <n v="1"/>
    <n v="1"/>
    <n v="555336679"/>
  </r>
  <r>
    <x v="79"/>
    <s v="M"/>
    <s v="Editor"/>
    <s v="GIS_ANALYSIS"/>
    <s v="3 YR"/>
    <s v="Subsequent transaction "/>
    <s v="Morning"/>
    <x v="0"/>
    <x v="0"/>
    <x v="36"/>
    <s v="maboelmagd.c@rer.sa"/>
    <n v="1"/>
    <n v="1"/>
    <n v="1"/>
    <n v="1"/>
    <n v="1"/>
    <n v="1"/>
    <n v="556016807"/>
  </r>
  <r>
    <x v="80"/>
    <s v="M"/>
    <s v="Data"/>
    <s v="GIS_ANALYSIS"/>
    <m/>
    <s v="Data"/>
    <s v="Morning"/>
    <x v="0"/>
    <x v="0"/>
    <x v="29"/>
    <s v="yfarag.c@rer.sa"/>
    <n v="1"/>
    <n v="1"/>
    <n v="1"/>
    <n v="1"/>
    <n v="1"/>
    <n v="1"/>
    <n v="501604308"/>
  </r>
  <r>
    <x v="81"/>
    <s v="M"/>
    <s v="Data"/>
    <s v="GIS- CONSULTANT"/>
    <m/>
    <s v="Data"/>
    <s v="Morning"/>
    <x v="1"/>
    <x v="0"/>
    <x v="24"/>
    <s v="kfarah.c@rer.sa"/>
    <n v="1"/>
    <n v="1"/>
    <n v="1"/>
    <n v="1"/>
    <n v="1"/>
    <n v="1"/>
    <n v="538934823"/>
  </r>
  <r>
    <x v="82"/>
    <s v="M"/>
    <s v="Consultant"/>
    <s v="GIS- CONSULTANT"/>
    <m/>
    <s v="First Registration"/>
    <s v="Morning"/>
    <x v="3"/>
    <x v="0"/>
    <x v="25"/>
    <s v="tmqasem.c@rer.sa"/>
    <n v="1"/>
    <n v="1"/>
    <n v="1"/>
    <n v="1"/>
    <n v="1"/>
    <n v="1"/>
    <n v="554687682"/>
  </r>
  <r>
    <x v="83"/>
    <s v="F"/>
    <s v="Editor"/>
    <s v="GIS_ANALYSIS"/>
    <s v="1 YR 7 MON"/>
    <s v="First Registration"/>
    <s v="Morning"/>
    <x v="0"/>
    <x v="0"/>
    <x v="37"/>
    <s v=" AAldhafri.c@Rer.sa"/>
    <n v="1"/>
    <n v="1"/>
    <n v="1"/>
    <n v="1"/>
    <n v="1"/>
    <n v="1"/>
    <n v="557480691"/>
  </r>
  <r>
    <x v="84"/>
    <s v="F"/>
    <s v="Editor"/>
    <s v="GIS_ANALYSIS"/>
    <s v="5 YR"/>
    <s v="First Registration"/>
    <s v="Morning"/>
    <x v="0"/>
    <x v="0"/>
    <x v="38"/>
    <s v="AAlasmari.c@Rer.sa"/>
    <n v="1"/>
    <n v="1"/>
    <n v="1"/>
    <n v="1"/>
    <n v="1"/>
    <n v="1"/>
    <n v="551964767"/>
  </r>
  <r>
    <x v="85"/>
    <s v="F"/>
    <s v="Editor"/>
    <s v="GIS_ANALYSIS"/>
    <s v="1 YR"/>
    <s v="First Registration"/>
    <s v="Morning"/>
    <x v="0"/>
    <x v="0"/>
    <x v="39"/>
    <s v="Falqahtani.c@rer.sa"/>
    <n v="1"/>
    <n v="1"/>
    <n v="1"/>
    <n v="1"/>
    <n v="1"/>
    <n v="1"/>
    <n v="539663939"/>
  </r>
  <r>
    <x v="86"/>
    <s v="M"/>
    <s v="Consultant"/>
    <s v="GIS_QC"/>
    <m/>
    <s v="First Registration"/>
    <s v="Morning"/>
    <x v="3"/>
    <x v="1"/>
    <x v="40"/>
    <s v="idmohammed.c@rer.sa"/>
    <n v="1"/>
    <n v="1"/>
    <n v="1"/>
    <n v="1"/>
    <n v="1"/>
    <n v="1"/>
    <n v="540781468"/>
  </r>
  <r>
    <x v="87"/>
    <s v="F"/>
    <s v="Editor"/>
    <s v="GIS_ANALYSIS"/>
    <m/>
    <s v="First Registration"/>
    <s v="Morning"/>
    <x v="1"/>
    <x v="1"/>
    <x v="20"/>
    <s v="rqasim.c@rer.sa"/>
    <n v="1"/>
    <n v="1"/>
    <n v="1"/>
    <n v="1"/>
    <n v="1"/>
    <n v="1"/>
    <n v="531106757"/>
  </r>
  <r>
    <x v="88"/>
    <s v="M"/>
    <s v="Editor"/>
    <s v="GIS_ANALYSIS"/>
    <m/>
    <s v="First Registration"/>
    <s v="Morning"/>
    <x v="1"/>
    <x v="1"/>
    <x v="20"/>
    <s v="aalshahrani.c@rer.sa"/>
    <n v="1"/>
    <n v="1"/>
    <n v="1"/>
    <n v="1"/>
    <n v="1"/>
    <n v="1"/>
    <n v="531575845"/>
  </r>
  <r>
    <x v="89"/>
    <s v="F"/>
    <s v="Editor"/>
    <s v="GIS_ANALYSIS"/>
    <n v="0"/>
    <s v="First Registration"/>
    <s v="Morning"/>
    <x v="1"/>
    <x v="0"/>
    <x v="20"/>
    <s v="nalsehemy.c@rer.sa"/>
    <n v="1"/>
    <n v="1"/>
    <n v="1"/>
    <n v="1"/>
    <n v="1"/>
    <n v="1"/>
    <n v="564117783"/>
  </r>
  <r>
    <x v="90"/>
    <s v="F"/>
    <s v="Editor"/>
    <s v="GIS_ANALYSIS"/>
    <n v="0"/>
    <s v="First Registration"/>
    <s v="Morning"/>
    <x v="0"/>
    <x v="0"/>
    <x v="20"/>
    <s v="aalanazi.c@rer.sa"/>
    <n v="1"/>
    <n v="1"/>
    <n v="1"/>
    <n v="1"/>
    <n v="1"/>
    <n v="1"/>
    <n v="556814712"/>
  </r>
  <r>
    <x v="91"/>
    <s v="F"/>
    <s v="Editor"/>
    <s v="GIS_ANALYSIS"/>
    <m/>
    <s v="First Registration"/>
    <s v="Morning"/>
    <x v="0"/>
    <x v="1"/>
    <x v="20"/>
    <s v="naltayyar.c@rer.sa"/>
    <n v="1"/>
    <n v="1"/>
    <n v="1"/>
    <n v="1"/>
    <n v="1"/>
    <n v="1"/>
    <n v="552207448"/>
  </r>
  <r>
    <x v="92"/>
    <s v="F"/>
    <s v="Editor"/>
    <s v="GIS_ANALYSIS"/>
    <s v="5 YR"/>
    <s v="First Registration"/>
    <s v="Morning"/>
    <x v="3"/>
    <x v="0"/>
    <x v="41"/>
    <s v="AAlmarzouq.c@Rer.sa"/>
    <n v="1"/>
    <n v="1"/>
    <n v="1"/>
    <n v="1"/>
    <n v="1"/>
    <n v="1"/>
    <n v="502292203"/>
  </r>
  <r>
    <x v="93"/>
    <s v="F"/>
    <s v="Editor"/>
    <s v="GIS_ANALYSIS"/>
    <n v="0"/>
    <s v="First Registration"/>
    <s v="Morning"/>
    <x v="0"/>
    <x v="0"/>
    <x v="42"/>
    <s v="fdalharbi.c@Rer.sa"/>
    <n v="1"/>
    <n v="1"/>
    <n v="1"/>
    <n v="1"/>
    <n v="1"/>
    <n v="1"/>
    <n v="556154136"/>
  </r>
  <r>
    <x v="94"/>
    <s v="F"/>
    <s v="Editor"/>
    <s v="GIS_ANALYSIS"/>
    <s v="1 YR 3 MON"/>
    <s v="First Registration"/>
    <s v="Morning"/>
    <x v="0"/>
    <x v="0"/>
    <x v="41"/>
    <s v="salfuraihi.c@Rer.sa"/>
    <n v="1"/>
    <n v="1"/>
    <n v="1"/>
    <n v="1"/>
    <n v="1"/>
    <n v="1"/>
    <n v="502026883"/>
  </r>
  <r>
    <x v="95"/>
    <s v="M"/>
    <s v="Editor"/>
    <s v="GIS_ANALYSIS"/>
    <m/>
    <s v="Amana"/>
    <s v="Morning"/>
    <x v="3"/>
    <x v="0"/>
    <x v="41"/>
    <s v="ASAlanazi.c@Rer.sa"/>
    <n v="1"/>
    <n v="1"/>
    <n v="1"/>
    <n v="1"/>
    <n v="1"/>
    <n v="1"/>
    <n v="544559704"/>
  </r>
  <r>
    <x v="96"/>
    <s v="M"/>
    <s v="Editor"/>
    <s v="GIS_ANALYSIS"/>
    <m/>
    <s v="Amana"/>
    <s v="Morning"/>
    <x v="0"/>
    <x v="0"/>
    <x v="41"/>
    <s v="NMAlanazi.c@Rer.sa"/>
    <n v="1"/>
    <n v="1"/>
    <n v="1"/>
    <n v="1"/>
    <n v="1"/>
    <n v="1"/>
    <n v="573122013"/>
  </r>
  <r>
    <x v="97"/>
    <s v="F"/>
    <s v="Editor"/>
    <s v="GIS_ANALYSIS"/>
    <s v="2 YR "/>
    <s v="First Registration"/>
    <s v="Morning"/>
    <x v="0"/>
    <x v="0"/>
    <x v="38"/>
    <s v="RAlsubaie.c@Rer.sa"/>
    <n v="1"/>
    <n v="1"/>
    <n v="1"/>
    <n v="1"/>
    <n v="1"/>
    <n v="1"/>
    <n v="502475339"/>
  </r>
  <r>
    <x v="98"/>
    <s v="M"/>
    <s v="Supervisor"/>
    <s v="GIS_ANALYSIS"/>
    <n v="0"/>
    <s v="First Registration"/>
    <s v="Morning"/>
    <x v="3"/>
    <x v="0"/>
    <x v="43"/>
    <s v="msalghamdi.c@rer.sa"/>
    <n v="1"/>
    <n v="1"/>
    <n v="1"/>
    <n v="1"/>
    <n v="1"/>
    <n v="1"/>
    <n v="554958395"/>
  </r>
  <r>
    <x v="99"/>
    <s v="F"/>
    <s v="Coordinator"/>
    <s v="GIS_QC"/>
    <m/>
    <s v="HR"/>
    <s v="Morning"/>
    <x v="3"/>
    <x v="0"/>
    <x v="44"/>
    <s v="falrawily.c@rer.sa"/>
    <n v="1"/>
    <n v="1"/>
    <n v="1"/>
    <n v="1"/>
    <n v="1"/>
    <n v="1"/>
    <n v="562798589"/>
  </r>
  <r>
    <x v="100"/>
    <s v="F"/>
    <s v="Coordinator"/>
    <s v="GIS_ANALYSIS"/>
    <m/>
    <s v="Coordinator"/>
    <s v="Morning"/>
    <x v="1"/>
    <x v="0"/>
    <x v="45"/>
    <s v="salafif.c@rer.sa"/>
    <n v="1"/>
    <n v="1"/>
    <n v="1"/>
    <n v="1"/>
    <n v="1"/>
    <n v="1"/>
    <n v="501617233"/>
  </r>
  <r>
    <x v="101"/>
    <s v="M"/>
    <s v="Editor"/>
    <s v="GIS_ANALYSIS"/>
    <m/>
    <s v="First Registration"/>
    <s v="Morning"/>
    <x v="1"/>
    <x v="1"/>
    <x v="46"/>
    <s v="salsubaie.c@rer.sa"/>
    <n v="1"/>
    <n v="1"/>
    <n v="1"/>
    <n v="1"/>
    <n v="1"/>
    <n v="1"/>
    <n v="534818209"/>
  </r>
  <r>
    <x v="102"/>
    <s v="M"/>
    <s v="Editor"/>
    <s v="GIS_ANALYSIS"/>
    <s v="1 YR"/>
    <s v="First Registration"/>
    <s v="Morning"/>
    <x v="1"/>
    <x v="0"/>
    <x v="47"/>
    <s v="aaloufi.c@rer.sa"/>
    <n v="1"/>
    <n v="1"/>
    <n v="1"/>
    <n v="1"/>
    <n v="1"/>
    <n v="1"/>
    <n v="540543022"/>
  </r>
  <r>
    <x v="103"/>
    <s v="M"/>
    <s v="Editor"/>
    <s v="GIS_ANALYSIS"/>
    <n v="0"/>
    <s v="First Registration"/>
    <s v="Morning"/>
    <x v="3"/>
    <x v="0"/>
    <x v="48"/>
    <s v="bjlelati.c@rer.sa"/>
    <n v="1"/>
    <n v="1"/>
    <n v="1"/>
    <n v="1"/>
    <n v="1"/>
    <n v="1"/>
    <n v="540709631"/>
  </r>
  <r>
    <x v="104"/>
    <s v="M"/>
    <s v="Editor"/>
    <s v="GIS_ANALYSIS"/>
    <n v="0"/>
    <s v="First Registration"/>
    <s v="Morning"/>
    <x v="1"/>
    <x v="0"/>
    <x v="49"/>
    <s v="falsubaie.c@rer.sa"/>
    <n v="1"/>
    <n v="1"/>
    <n v="1"/>
    <n v="1"/>
    <n v="1"/>
    <n v="1"/>
    <n v="548474028"/>
  </r>
  <r>
    <x v="105"/>
    <s v="F"/>
    <s v="Editor"/>
    <s v="GIS_ANALYSIS"/>
    <s v="15 YR"/>
    <s v="First Registration"/>
    <s v="Morning"/>
    <x v="1"/>
    <x v="0"/>
    <x v="50"/>
    <s v="smohamed.c@rer.sa"/>
    <n v="1"/>
    <n v="1"/>
    <n v="1"/>
    <n v="1"/>
    <n v="1"/>
    <n v="1"/>
    <n v="564013373"/>
  </r>
  <r>
    <x v="106"/>
    <s v="M"/>
    <s v="Editor"/>
    <s v="GIS_ANALYSIS"/>
    <s v="2 YR"/>
    <s v="Subsequent transaction "/>
    <s v="Morning"/>
    <x v="1"/>
    <x v="0"/>
    <x v="50"/>
    <s v="aalqhtani.c@rer.sa"/>
    <n v="1"/>
    <n v="1"/>
    <n v="1"/>
    <n v="1"/>
    <n v="1"/>
    <n v="1"/>
    <n v="541208461"/>
  </r>
  <r>
    <x v="107"/>
    <s v="M"/>
    <s v="Coordinator"/>
    <s v="GIS_ANALYSIS"/>
    <n v="0"/>
    <s v="Deed"/>
    <s v="Morning"/>
    <x v="0"/>
    <x v="0"/>
    <x v="51"/>
    <s v="balotaibe.c@rer.sa"/>
    <n v="1"/>
    <n v="1"/>
    <n v="1"/>
    <n v="1"/>
    <n v="1"/>
    <n v="1"/>
    <n v="543681300"/>
  </r>
  <r>
    <x v="108"/>
    <s v="M"/>
    <s v="Coordinator"/>
    <s v="GIS_ANALYSIS"/>
    <m/>
    <s v="Deed"/>
    <s v="Morning"/>
    <x v="0"/>
    <x v="1"/>
    <x v="51"/>
    <s v="halotaibe.c@rer.sa"/>
    <n v="1"/>
    <n v="1"/>
    <n v="1"/>
    <n v="1"/>
    <n v="1"/>
    <n v="1"/>
    <n v="560735177"/>
  </r>
  <r>
    <x v="109"/>
    <s v="M"/>
    <s v="Editor"/>
    <s v="GIS_ANALYSIS"/>
    <m/>
    <s v="Amana"/>
    <s v="Morning"/>
    <x v="0"/>
    <x v="0"/>
    <x v="51"/>
    <s v="yalqhtani.c@rer.sa"/>
    <n v="1"/>
    <n v="1"/>
    <n v="1"/>
    <n v="1"/>
    <n v="1"/>
    <n v="1"/>
    <n v="534242429"/>
  </r>
  <r>
    <x v="110"/>
    <s v="M"/>
    <s v="Coordinator"/>
    <s v="GIS_ANALYSIS"/>
    <n v="0"/>
    <s v="Deed"/>
    <s v="Morning"/>
    <x v="0"/>
    <x v="0"/>
    <x v="52"/>
    <s v="aalateer.c@rersa"/>
    <n v="1"/>
    <n v="1"/>
    <n v="1"/>
    <n v="1"/>
    <n v="1"/>
    <n v="1"/>
    <n v="554337965"/>
  </r>
  <r>
    <x v="111"/>
    <s v="M"/>
    <s v="Editor"/>
    <s v="GIS_ANALYSIS"/>
    <n v="0"/>
    <s v="First Registration"/>
    <s v="Morning"/>
    <x v="0"/>
    <x v="0"/>
    <x v="52"/>
    <s v="aalghamdi.c@rer.sa"/>
    <n v="1"/>
    <n v="1"/>
    <n v="1"/>
    <n v="1"/>
    <n v="1"/>
    <n v="1"/>
    <n v="566041080"/>
  </r>
  <r>
    <x v="112"/>
    <s v="M"/>
    <s v="Editor"/>
    <s v="GIS_ANALYSIS"/>
    <s v="3 YR"/>
    <s v="First Registration"/>
    <s v="Morning"/>
    <x v="3"/>
    <x v="0"/>
    <x v="52"/>
    <s v="aamkanani.c@rer.sa"/>
    <n v="1"/>
    <n v="1"/>
    <n v="1"/>
    <n v="1"/>
    <n v="1"/>
    <n v="1"/>
    <n v="550628725"/>
  </r>
  <r>
    <x v="113"/>
    <s v="M"/>
    <s v="Editor"/>
    <s v="GIS_QC"/>
    <s v="6 YR"/>
    <s v="First Registration"/>
    <s v="Morning"/>
    <x v="3"/>
    <x v="0"/>
    <x v="53"/>
    <s v="osager.c@rer.sa"/>
    <n v="1"/>
    <n v="1"/>
    <n v="1"/>
    <n v="1"/>
    <n v="1"/>
    <n v="1"/>
    <n v="553558641"/>
  </r>
  <r>
    <x v="114"/>
    <s v="M"/>
    <s v="Coordinator"/>
    <s v="GIS_ANALYSIS"/>
    <m/>
    <s v="Coordinator"/>
    <s v="Morning"/>
    <x v="0"/>
    <x v="0"/>
    <x v="54"/>
    <s v="kalwaleed.c@rer.sa"/>
    <n v="1"/>
    <n v="1"/>
    <n v="1"/>
    <n v="1"/>
    <n v="1"/>
    <n v="1"/>
    <n v="551336111"/>
  </r>
  <r>
    <x v="115"/>
    <s v="M"/>
    <s v="Coordinator"/>
    <s v="GIS_ANALYSIS"/>
    <m/>
    <s v="Coordinator"/>
    <s v="Morning"/>
    <x v="0"/>
    <x v="0"/>
    <x v="55"/>
    <s v="fshamah.c@rer.sa"/>
    <n v="1"/>
    <n v="1"/>
    <n v="1"/>
    <n v="1"/>
    <n v="1"/>
    <n v="1"/>
    <n v="552976039"/>
  </r>
  <r>
    <x v="116"/>
    <s v="M"/>
    <s v="Editor"/>
    <s v="GIS_ANALYSIS"/>
    <m/>
    <s v="First Registration"/>
    <s v="Morning"/>
    <x v="3"/>
    <x v="1"/>
    <x v="55"/>
    <s v="masiri.c@rer.sa"/>
    <n v="1"/>
    <n v="1"/>
    <n v="1"/>
    <n v="1"/>
    <n v="1"/>
    <n v="1"/>
    <n v="590166690"/>
  </r>
  <r>
    <x v="117"/>
    <s v="M"/>
    <s v="Editor"/>
    <s v="GIS_ANALYSIS"/>
    <s v="1 YR"/>
    <s v="First Registration"/>
    <s v="Morning"/>
    <x v="3"/>
    <x v="0"/>
    <x v="55"/>
    <s v="obakri.c@rer.sa"/>
    <n v="1"/>
    <n v="1"/>
    <n v="1"/>
    <n v="1"/>
    <n v="1"/>
    <n v="1"/>
    <n v="567525628"/>
  </r>
  <r>
    <x v="118"/>
    <s v="M"/>
    <s v="Editor"/>
    <s v="GIS_QC"/>
    <s v="9 YR"/>
    <s v="First Registration"/>
    <s v="Morning"/>
    <x v="3"/>
    <x v="0"/>
    <x v="56"/>
    <s v="Iabdullah.c@rer.sa"/>
    <n v="1"/>
    <n v="1"/>
    <n v="1"/>
    <n v="1"/>
    <n v="1"/>
    <n v="1"/>
    <n v="557474093"/>
  </r>
  <r>
    <x v="119"/>
    <s v="M"/>
    <s v="Editor"/>
    <s v="GIS_ANALYSIS"/>
    <m/>
    <s v="Amana"/>
    <s v="Morning"/>
    <x v="3"/>
    <x v="0"/>
    <x v="57"/>
    <s v="msalotaibi.c@rer.sa"/>
    <n v="1"/>
    <n v="1"/>
    <n v="1"/>
    <n v="1"/>
    <n v="1"/>
    <n v="1"/>
    <n v="502383366"/>
  </r>
  <r>
    <x v="120"/>
    <s v="M"/>
    <s v="BD"/>
    <s v="GIS_ANALYSIS"/>
    <m/>
    <s v="PM"/>
    <s v="Morning"/>
    <x v="3"/>
    <x v="0"/>
    <x v="58"/>
    <s v="malfrhood.c@rer.sa"/>
    <n v="1"/>
    <n v="1"/>
    <n v="1"/>
    <n v="1"/>
    <n v="1"/>
    <n v="1"/>
    <n v="592031354"/>
  </r>
  <r>
    <x v="121"/>
    <s v="M"/>
    <s v="Editor"/>
    <s v="GIS_ANALYSIS"/>
    <n v="0"/>
    <s v="First Registration"/>
    <s v="Morning"/>
    <x v="3"/>
    <x v="0"/>
    <x v="59"/>
    <s v="NAlrayyani.c@rer.sa"/>
    <n v="1"/>
    <n v="1"/>
    <n v="1"/>
    <n v="1"/>
    <n v="1"/>
    <n v="1"/>
    <n v="537646680"/>
  </r>
  <r>
    <x v="122"/>
    <s v="M"/>
    <s v="Editor"/>
    <s v="GIS_ANALYSIS"/>
    <m/>
    <s v="First Registration"/>
    <s v="Morning"/>
    <x v="3"/>
    <x v="0"/>
    <x v="59"/>
    <s v="aalmusnid.c@rer.sa"/>
    <n v="1"/>
    <n v="1"/>
    <n v="1"/>
    <n v="1"/>
    <n v="1"/>
    <n v="1"/>
    <n v="504705419"/>
  </r>
  <r>
    <x v="123"/>
    <s v="M"/>
    <s v="Editor"/>
    <s v="GIS_ANALYSIS"/>
    <s v="4 YR"/>
    <s v="First Registration"/>
    <s v="Morning"/>
    <x v="3"/>
    <x v="0"/>
    <x v="59"/>
    <s v="malddin.c@rer.sa"/>
    <n v="1"/>
    <n v="1"/>
    <n v="1"/>
    <n v="1"/>
    <n v="1"/>
    <n v="1"/>
    <n v="557648086"/>
  </r>
  <r>
    <x v="124"/>
    <s v="M"/>
    <s v="Editor"/>
    <s v="GIS_QC"/>
    <s v="10 YR"/>
    <s v="First Registration"/>
    <s v="Morning"/>
    <x v="3"/>
    <x v="0"/>
    <x v="59"/>
    <s v="aaltoum.c@rer.sa"/>
    <n v="1"/>
    <n v="1"/>
    <n v="1"/>
    <n v="1"/>
    <n v="1"/>
    <n v="1"/>
    <n v="502506224"/>
  </r>
  <r>
    <x v="125"/>
    <s v="M"/>
    <s v="Editor"/>
    <s v="GIS_QC"/>
    <m/>
    <s v="First Registration"/>
    <s v="Morning"/>
    <x v="3"/>
    <x v="0"/>
    <x v="59"/>
    <s v="ahassan.c@rer.sa"/>
    <n v="1"/>
    <n v="1"/>
    <n v="1"/>
    <n v="1"/>
    <n v="1"/>
    <n v="1"/>
    <n v="507686403"/>
  </r>
  <r>
    <x v="126"/>
    <s v="M"/>
    <s v="Editor"/>
    <s v="GIS_ANALYSIS"/>
    <s v="3 YR"/>
    <s v="First Registration"/>
    <s v="Morning"/>
    <x v="3"/>
    <x v="0"/>
    <x v="59"/>
    <s v="alshag.c@rer.sa"/>
    <n v="1"/>
    <n v="1"/>
    <n v="1"/>
    <n v="1"/>
    <n v="1"/>
    <n v="1"/>
    <n v="545373728"/>
  </r>
  <r>
    <x v="127"/>
    <s v="F"/>
    <s v="Editor"/>
    <s v="GIS_ANALYSIS"/>
    <n v="0"/>
    <s v="First Registration"/>
    <s v="Morning"/>
    <x v="3"/>
    <x v="0"/>
    <x v="60"/>
    <s v="RAljuhani.c@rer.sa"/>
    <n v="1"/>
    <n v="1"/>
    <n v="1"/>
    <n v="1"/>
    <n v="1"/>
    <n v="1"/>
    <n v="553816894"/>
  </r>
  <r>
    <x v="128"/>
    <s v="M"/>
    <s v="Editor"/>
    <s v="GIS_ANALYSIS"/>
    <s v="3 YR"/>
    <s v="First Registration"/>
    <s v="Morning"/>
    <x v="3"/>
    <x v="0"/>
    <x v="61"/>
    <s v="mhasab.c@rer.sa"/>
    <n v="1"/>
    <n v="1"/>
    <n v="1"/>
    <n v="1"/>
    <n v="1"/>
    <n v="1"/>
    <n v="561899839"/>
  </r>
  <r>
    <x v="129"/>
    <s v="M"/>
    <s v="Editor"/>
    <s v="GIS_ANALYSIS"/>
    <s v="2 YR "/>
    <s v="First Registration"/>
    <s v="Morning"/>
    <x v="2"/>
    <x v="0"/>
    <x v="41"/>
    <s v="baldosri.c@rer.sa"/>
    <n v="1"/>
    <n v="1"/>
    <n v="1"/>
    <n v="1"/>
    <n v="1"/>
    <n v="1"/>
    <n v="540874249"/>
  </r>
  <r>
    <x v="130"/>
    <s v="M"/>
    <s v="Editor"/>
    <s v="GIS_QC"/>
    <s v="3 YR"/>
    <s v="First Registration"/>
    <s v="Morning"/>
    <x v="2"/>
    <x v="0"/>
    <x v="41"/>
    <s v="aaldeen.c@rer.sa"/>
    <n v="1"/>
    <n v="1"/>
    <n v="1"/>
    <n v="1"/>
    <n v="1"/>
    <n v="1"/>
    <n v="506994123"/>
  </r>
  <r>
    <x v="131"/>
    <s v="M"/>
    <s v="Editor"/>
    <s v="GIS_QC"/>
    <s v="5 YR"/>
    <s v="First Registration"/>
    <s v="Morning"/>
    <x v="0"/>
    <x v="0"/>
    <x v="62"/>
    <s v="amustfa.c@rer.sa"/>
    <n v="1"/>
    <n v="1"/>
    <n v="1"/>
    <n v="1"/>
    <n v="1"/>
    <n v="1"/>
    <n v="572548715"/>
  </r>
  <r>
    <x v="132"/>
    <s v="M"/>
    <s v="Editor"/>
    <s v="GIS_QC"/>
    <m/>
    <s v="First Registration"/>
    <s v="Morning"/>
    <x v="3"/>
    <x v="0"/>
    <x v="63"/>
    <s v="MYMohammed.c@rer.sa"/>
    <n v="1"/>
    <n v="1"/>
    <n v="1"/>
    <n v="1"/>
    <n v="1"/>
    <n v="1"/>
    <n v="568189869"/>
  </r>
  <r>
    <x v="133"/>
    <s v="F"/>
    <s v="Editor"/>
    <m/>
    <m/>
    <s v="Subsequent transaction "/>
    <s v="Morning"/>
    <x v="4"/>
    <x v="0"/>
    <x v="35"/>
    <s v="SAlyahya@Rer.sa"/>
    <n v="1"/>
    <n v="1"/>
    <n v="1"/>
    <n v="1"/>
    <n v="1"/>
    <n v="1"/>
    <n v="501092501"/>
  </r>
  <r>
    <x v="134"/>
    <s v="M"/>
    <s v="Editor"/>
    <m/>
    <m/>
    <s v="Subsequent transaction "/>
    <s v="Morning"/>
    <x v="4"/>
    <x v="0"/>
    <x v="35"/>
    <s v="nalqarni@rer.sa"/>
    <n v="1"/>
    <n v="1"/>
    <n v="1"/>
    <n v="1"/>
    <n v="1"/>
    <n v="1"/>
    <m/>
  </r>
  <r>
    <x v="135"/>
    <s v="M"/>
    <s v="Editor "/>
    <s v="GIS_ANALYSIS"/>
    <s v="3 YR"/>
    <s v="First Registration"/>
    <s v="Morning"/>
    <x v="2"/>
    <x v="0"/>
    <x v="64"/>
    <s v="RAlghamdi.c@rer.sa"/>
    <m/>
    <m/>
    <m/>
    <m/>
    <m/>
    <m/>
    <n v="596116000"/>
  </r>
  <r>
    <x v="136"/>
    <s v="M"/>
    <s v="Editor "/>
    <s v="GIS_ANALYSIS"/>
    <m/>
    <s v="First Registration"/>
    <s v="Morning"/>
    <x v="2"/>
    <x v="0"/>
    <x v="65"/>
    <s v="AAlmasoudi.c@rer.sa"/>
    <m/>
    <m/>
    <m/>
    <m/>
    <m/>
    <m/>
    <n v="501543531"/>
  </r>
  <r>
    <x v="137"/>
    <s v="M"/>
    <s v="Editor "/>
    <s v="GIS_ANALYSIS"/>
    <s v="1 YR 5 MON"/>
    <s v="Amana"/>
    <s v="Morning"/>
    <x v="3"/>
    <x v="0"/>
    <x v="66"/>
    <s v="Ialmalki.c@rer.sa"/>
    <m/>
    <m/>
    <m/>
    <m/>
    <m/>
    <m/>
    <n v="500449559"/>
  </r>
  <r>
    <x v="138"/>
    <s v="M"/>
    <s v="Editor "/>
    <s v="GIS_ANALYSIS"/>
    <n v="0"/>
    <s v="First Registration"/>
    <s v="Morning"/>
    <x v="3"/>
    <x v="2"/>
    <x v="66"/>
    <s v="Malshalan.c@rer.sa"/>
    <m/>
    <m/>
    <m/>
    <m/>
    <m/>
    <m/>
    <n v="553011418"/>
  </r>
  <r>
    <x v="139"/>
    <s v="M"/>
    <s v="Editor "/>
    <s v="GIS_ANALYSIS"/>
    <s v="5 MON"/>
    <s v="Amana"/>
    <s v="Morning"/>
    <x v="3"/>
    <x v="0"/>
    <x v="66"/>
    <s v="Malbgmi.c@rer.sa"/>
    <m/>
    <m/>
    <m/>
    <m/>
    <m/>
    <m/>
    <n v="555203883"/>
  </r>
  <r>
    <x v="140"/>
    <s v="M"/>
    <s v="Editor "/>
    <s v="GIS_ANALYSIS"/>
    <s v="1 MON"/>
    <s v="First Registration"/>
    <s v="Morning"/>
    <x v="3"/>
    <x v="0"/>
    <x v="66"/>
    <s v="Aalzahrani.c@rer.sa"/>
    <m/>
    <m/>
    <m/>
    <m/>
    <m/>
    <m/>
    <n v="532049879"/>
  </r>
  <r>
    <x v="141"/>
    <s v="M"/>
    <s v="Editor "/>
    <s v="GIS_ANALYSIS"/>
    <n v="0"/>
    <s v="First Registration"/>
    <s v="Morning"/>
    <x v="3"/>
    <x v="0"/>
    <x v="66"/>
    <s v="Falmutairi.c@rer.sa"/>
    <m/>
    <m/>
    <m/>
    <m/>
    <m/>
    <m/>
    <m/>
  </r>
  <r>
    <x v="142"/>
    <s v="M"/>
    <s v="Editor "/>
    <s v="GIS_ANALYSIS"/>
    <n v="0"/>
    <s v="First Registration"/>
    <s v="Morning"/>
    <x v="3"/>
    <x v="0"/>
    <x v="67"/>
    <s v="Aaldurayhim.c@rer.sa"/>
    <m/>
    <m/>
    <m/>
    <m/>
    <m/>
    <m/>
    <m/>
  </r>
  <r>
    <x v="143"/>
    <s v="F"/>
    <s v="Consultant"/>
    <s v="GIS_QC"/>
    <n v="0"/>
    <s v="First Registration"/>
    <s v="Morning"/>
    <x v="0"/>
    <x v="0"/>
    <x v="68"/>
    <s v="Realamri.c@rer.sa"/>
    <m/>
    <m/>
    <m/>
    <m/>
    <m/>
    <m/>
    <m/>
  </r>
  <r>
    <x v="144"/>
    <s v="M"/>
    <s v="Editor "/>
    <s v="GIS_ANALYSIS"/>
    <s v="2 YR"/>
    <s v="First Registration"/>
    <s v="Morning"/>
    <x v="3"/>
    <x v="0"/>
    <x v="68"/>
    <s v="Oali.c@rer.sa"/>
    <m/>
    <m/>
    <m/>
    <m/>
    <m/>
    <m/>
    <s v="0563986439"/>
  </r>
  <r>
    <x v="145"/>
    <s v="M"/>
    <s v="Editor "/>
    <s v="GIS- CONSULTANT"/>
    <s v="14 YR"/>
    <s v="First Registration"/>
    <s v="Morning"/>
    <x v="3"/>
    <x v="2"/>
    <x v="69"/>
    <m/>
    <m/>
    <m/>
    <m/>
    <m/>
    <m/>
    <m/>
    <n v="563757918"/>
  </r>
  <r>
    <x v="146"/>
    <s v="M"/>
    <s v="Editor "/>
    <s v="GIS_ANALYSIS"/>
    <s v="4 YR"/>
    <s v="First Registration"/>
    <s v="Morning"/>
    <x v="3"/>
    <x v="0"/>
    <x v="68"/>
    <s v="Asiddig.c@rer.sa"/>
    <m/>
    <m/>
    <m/>
    <m/>
    <m/>
    <m/>
    <n v="510942027"/>
  </r>
  <r>
    <x v="147"/>
    <s v="F"/>
    <s v="Editor "/>
    <s v="GIS_ANALYSIS"/>
    <s v="5 YR"/>
    <s v="First Registration"/>
    <s v="Morning"/>
    <x v="3"/>
    <x v="0"/>
    <x v="68"/>
    <s v="Ralsadig.c@rer.sa"/>
    <m/>
    <m/>
    <m/>
    <m/>
    <m/>
    <m/>
    <m/>
  </r>
  <r>
    <x v="148"/>
    <s v="M"/>
    <s v="Editor "/>
    <s v="GIS_ANALYSIS"/>
    <s v="3 YR"/>
    <s v="First Registration"/>
    <s v="Morning"/>
    <x v="3"/>
    <x v="0"/>
    <x v="68"/>
    <s v="Smohammed.c@rer.sa"/>
    <m/>
    <m/>
    <m/>
    <m/>
    <m/>
    <m/>
    <m/>
  </r>
  <r>
    <x v="149"/>
    <s v="F"/>
    <s v="Editor "/>
    <s v="GIS_ANALYSIS"/>
    <n v="0"/>
    <s v="First Registration"/>
    <s v="Morning"/>
    <x v="3"/>
    <x v="0"/>
    <x v="68"/>
    <s v="Nalfarraj.c@rer.sa"/>
    <m/>
    <m/>
    <m/>
    <m/>
    <m/>
    <m/>
    <s v="0533204844"/>
  </r>
  <r>
    <x v="150"/>
    <s v="M"/>
    <s v="Editor "/>
    <s v="GIS_ANALYSIS"/>
    <s v="2 YR"/>
    <s v="First Registration"/>
    <s v="Morning"/>
    <x v="3"/>
    <x v="0"/>
    <x v="68"/>
    <s v="AAlQahtani.c@rer.sa"/>
    <m/>
    <m/>
    <m/>
    <m/>
    <m/>
    <m/>
    <s v="0566805144"/>
  </r>
  <r>
    <x v="151"/>
    <s v="M"/>
    <s v="Editor "/>
    <s v="GIS_QC"/>
    <s v="5 YR"/>
    <s v="First Registration"/>
    <s v="Morning"/>
    <x v="3"/>
    <x v="0"/>
    <x v="68"/>
    <s v="AMostafa.c@rer.sa"/>
    <m/>
    <m/>
    <m/>
    <m/>
    <m/>
    <m/>
    <n v="546059697"/>
  </r>
  <r>
    <x v="152"/>
    <s v="M"/>
    <s v="Editor "/>
    <s v="GIS_ANALYSIS"/>
    <s v="4YR"/>
    <s v="First Registration"/>
    <s v="Morning"/>
    <x v="3"/>
    <x v="0"/>
    <x v="68"/>
    <s v="Msayed.c@rer.sa"/>
    <m/>
    <m/>
    <m/>
    <m/>
    <m/>
    <m/>
    <n v="531861029"/>
  </r>
  <r>
    <x v="153"/>
    <s v="M"/>
    <s v="Editor "/>
    <s v="GIS_ANALYSIS"/>
    <s v="6 MON"/>
    <s v="First Registration"/>
    <s v="Morning"/>
    <x v="3"/>
    <x v="0"/>
    <x v="68"/>
    <s v="Aalnajey.c@rer.sa"/>
    <m/>
    <m/>
    <m/>
    <m/>
    <m/>
    <m/>
    <n v="549447775"/>
  </r>
  <r>
    <x v="154"/>
    <s v="F"/>
    <s v="Editor "/>
    <s v="GIS_ANALYSIS"/>
    <s v="3 MON"/>
    <s v="First Registration"/>
    <s v="Morning"/>
    <x v="3"/>
    <x v="0"/>
    <x v="68"/>
    <s v="Aalotibi.c@rer.sa"/>
    <m/>
    <m/>
    <m/>
    <m/>
    <m/>
    <m/>
    <m/>
  </r>
  <r>
    <x v="155"/>
    <s v="F"/>
    <s v="Editor "/>
    <s v="GIS_ANALYSIS"/>
    <n v="0"/>
    <s v="First Registration"/>
    <s v="Morning"/>
    <x v="3"/>
    <x v="0"/>
    <x v="68"/>
    <s v="Ralkaak.c@rer.sa"/>
    <m/>
    <m/>
    <m/>
    <m/>
    <m/>
    <m/>
    <m/>
  </r>
  <r>
    <x v="156"/>
    <s v="M"/>
    <s v="Editor "/>
    <s v="GIS_ANALYSIS"/>
    <s v="1 YR 5 MON"/>
    <s v="First Registration"/>
    <s v="Morning"/>
    <x v="3"/>
    <x v="0"/>
    <x v="68"/>
    <s v="Malburayk.c@rer.sa"/>
    <m/>
    <m/>
    <m/>
    <m/>
    <m/>
    <m/>
    <m/>
  </r>
  <r>
    <x v="157"/>
    <s v="M"/>
    <s v="Editor "/>
    <s v="GIS_ANALYSIS"/>
    <n v="0"/>
    <s v="First Registration"/>
    <s v="Morning"/>
    <x v="3"/>
    <x v="0"/>
    <x v="68"/>
    <s v="Malsulami.c@rer.sa"/>
    <m/>
    <m/>
    <m/>
    <m/>
    <m/>
    <m/>
    <m/>
  </r>
  <r>
    <x v="158"/>
    <s v="M"/>
    <s v="Editor "/>
    <s v="GIS_ANALYSIS"/>
    <s v="3 YR"/>
    <s v="First Registration"/>
    <s v="Morning"/>
    <x v="3"/>
    <x v="0"/>
    <x v="68"/>
    <s v="MAlMutairi.c@rer.sa"/>
    <m/>
    <m/>
    <m/>
    <m/>
    <m/>
    <m/>
    <n v="598641801"/>
  </r>
  <r>
    <x v="159"/>
    <s v="M"/>
    <s v="Editor "/>
    <s v="GIS_ANALYSIS"/>
    <s v="4 YR"/>
    <s v="First Registration"/>
    <s v="Morning"/>
    <x v="3"/>
    <x v="0"/>
    <x v="68"/>
    <s v="Mmansur.c@rer.sa"/>
    <m/>
    <m/>
    <m/>
    <m/>
    <m/>
    <m/>
    <n v="547671528"/>
  </r>
  <r>
    <x v="160"/>
    <s v="M"/>
    <s v="Editor "/>
    <s v="GIS_ANALYSIS"/>
    <s v="5 YR"/>
    <s v="First Registration"/>
    <s v="Morning"/>
    <x v="3"/>
    <x v="0"/>
    <x v="70"/>
    <s v="MAlSayf.c@rer.sa"/>
    <m/>
    <m/>
    <m/>
    <m/>
    <m/>
    <m/>
    <n v="595995373"/>
  </r>
  <r>
    <x v="161"/>
    <s v="F"/>
    <s v="Editor "/>
    <s v="GIS_ANALYSIS"/>
    <s v="6 MON "/>
    <s v="First Registration"/>
    <s v="Evening"/>
    <x v="3"/>
    <x v="0"/>
    <x v="71"/>
    <s v="Haalmutairi.c@rer.sa"/>
    <m/>
    <m/>
    <m/>
    <m/>
    <m/>
    <m/>
    <n v="595444507"/>
  </r>
  <r>
    <x v="162"/>
    <s v="M"/>
    <s v="Editor "/>
    <s v="GIS_ANALYSIS"/>
    <s v="1 YR 6 MON"/>
    <s v="First Registration"/>
    <s v="Evening"/>
    <x v="3"/>
    <x v="0"/>
    <x v="71"/>
    <s v="Walomari.c@rer.sa"/>
    <m/>
    <m/>
    <m/>
    <m/>
    <m/>
    <m/>
    <n v="564666145"/>
  </r>
  <r>
    <x v="163"/>
    <s v="M"/>
    <s v="Editor "/>
    <s v="GIS_ANALYSIS"/>
    <s v="1 YR"/>
    <s v="First Registration"/>
    <s v="Evening"/>
    <x v="3"/>
    <x v="0"/>
    <x v="71"/>
    <s v="Salshammari.c@rer.sa"/>
    <m/>
    <m/>
    <m/>
    <m/>
    <m/>
    <m/>
    <n v="536150001"/>
  </r>
  <r>
    <x v="164"/>
    <s v="F"/>
    <s v="Editor "/>
    <s v="GIS_ANALYSIS"/>
    <s v="2 YR "/>
    <s v="First Registration"/>
    <s v="Evening"/>
    <x v="3"/>
    <x v="2"/>
    <x v="71"/>
    <s v="Malkhaldi.c@rer.sa"/>
    <m/>
    <m/>
    <m/>
    <m/>
    <m/>
    <m/>
    <n v="534844195"/>
  </r>
  <r>
    <x v="165"/>
    <s v="M"/>
    <s v="Editor "/>
    <s v="GIS_ANALYSIS"/>
    <s v="3 YR"/>
    <s v="First Registration"/>
    <s v="Evening"/>
    <x v="3"/>
    <x v="0"/>
    <x v="71"/>
    <s v="Samohammed.c@rer.sa"/>
    <m/>
    <m/>
    <m/>
    <m/>
    <m/>
    <m/>
    <n v="507086576"/>
  </r>
  <r>
    <x v="166"/>
    <s v="M"/>
    <s v="Editor "/>
    <s v="GIS_ANALYSIS"/>
    <s v="6 MON"/>
    <s v="First Registration"/>
    <s v="Evening"/>
    <x v="3"/>
    <x v="2"/>
    <x v="71"/>
    <m/>
    <m/>
    <m/>
    <m/>
    <m/>
    <m/>
    <m/>
    <n v="500797394"/>
  </r>
  <r>
    <x v="167"/>
    <s v="M"/>
    <s v="Editor "/>
    <s v="GIS_ANALYSIS"/>
    <n v="0"/>
    <s v="First Registration"/>
    <s v="Evening"/>
    <x v="3"/>
    <x v="0"/>
    <x v="72"/>
    <m/>
    <m/>
    <m/>
    <m/>
    <m/>
    <m/>
    <m/>
    <n v="557764050"/>
  </r>
  <r>
    <x v="168"/>
    <s v="M"/>
    <s v="Editor "/>
    <s v="GIS_ANALYSIS"/>
    <s v="8 MON"/>
    <s v="First Registration"/>
    <s v="Evening"/>
    <x v="3"/>
    <x v="3"/>
    <x v="73"/>
    <s v="Aalmutlaq.c@rer.sa"/>
    <m/>
    <m/>
    <m/>
    <m/>
    <m/>
    <m/>
    <m/>
  </r>
  <r>
    <x v="169"/>
    <s v="M"/>
    <s v="Editor "/>
    <s v="GIS_ANALYSIS"/>
    <s v="7 MON"/>
    <s v="First Registration"/>
    <s v="Evening"/>
    <x v="3"/>
    <x v="0"/>
    <x v="71"/>
    <s v="Malshebani.c@rer.sa"/>
    <m/>
    <m/>
    <m/>
    <m/>
    <m/>
    <m/>
    <m/>
  </r>
  <r>
    <x v="170"/>
    <s v="F"/>
    <s v="Editor "/>
    <s v="GIS_ANALYSIS"/>
    <s v="1 YR 6 MON"/>
    <s v="First Registration"/>
    <s v="Evening"/>
    <x v="3"/>
    <x v="0"/>
    <x v="72"/>
    <m/>
    <m/>
    <m/>
    <m/>
    <m/>
    <m/>
    <m/>
    <n v="535829584"/>
  </r>
  <r>
    <x v="171"/>
    <s v="F"/>
    <s v="Editor "/>
    <s v="GIS_ANALYSIS"/>
    <s v="10 YR"/>
    <s v="First Registration"/>
    <s v="Evening"/>
    <x v="3"/>
    <x v="0"/>
    <x v="71"/>
    <s v="Wali.c@rer.sa"/>
    <m/>
    <m/>
    <m/>
    <m/>
    <m/>
    <m/>
    <m/>
  </r>
  <r>
    <x v="172"/>
    <s v="F"/>
    <s v="Editor "/>
    <s v="GIS_ANALYSIS"/>
    <s v="2 YR"/>
    <s v="First Registration"/>
    <s v="Evening"/>
    <x v="3"/>
    <x v="2"/>
    <x v="71"/>
    <s v="Teidlan.c@rer.sa"/>
    <m/>
    <m/>
    <m/>
    <m/>
    <m/>
    <m/>
    <m/>
  </r>
  <r>
    <x v="173"/>
    <s v="M"/>
    <s v="Editor "/>
    <s v="GIS_QC"/>
    <s v="6 YR"/>
    <s v="First Registration"/>
    <s v="Evening"/>
    <x v="3"/>
    <x v="0"/>
    <x v="71"/>
    <s v="Msheikh.c@rer.sa"/>
    <m/>
    <m/>
    <m/>
    <m/>
    <m/>
    <m/>
    <n v="533653464"/>
  </r>
  <r>
    <x v="174"/>
    <s v="F"/>
    <s v="Editor "/>
    <s v="GIS_ANALYSIS"/>
    <s v="5 MON"/>
    <s v="First Registration"/>
    <s v="Evening"/>
    <x v="3"/>
    <x v="0"/>
    <x v="71"/>
    <s v="Analghamdi.c@rer.sa"/>
    <m/>
    <m/>
    <m/>
    <m/>
    <m/>
    <m/>
    <n v="551808798"/>
  </r>
  <r>
    <x v="175"/>
    <s v="M"/>
    <s v="Editor "/>
    <s v="GIS_ANALYSIS"/>
    <s v="3 YR"/>
    <s v="First Registration"/>
    <s v="Evening"/>
    <x v="3"/>
    <x v="3"/>
    <x v="74"/>
    <s v="Eosman.c@rer.sa"/>
    <m/>
    <m/>
    <m/>
    <m/>
    <m/>
    <m/>
    <n v="532346290"/>
  </r>
  <r>
    <x v="176"/>
    <s v="M"/>
    <s v="Editor "/>
    <s v="GIS_ANALYSIS"/>
    <s v="1 YR"/>
    <s v="First Registration"/>
    <s v="Evening"/>
    <x v="3"/>
    <x v="0"/>
    <x v="71"/>
    <s v="Aaqeel.c@rer.sa"/>
    <m/>
    <m/>
    <m/>
    <m/>
    <m/>
    <m/>
    <n v="533282090"/>
  </r>
  <r>
    <x v="177"/>
    <s v="F"/>
    <s v="Editor "/>
    <s v="GIS_ANALYSIS"/>
    <s v="2 MON"/>
    <s v="First Registration"/>
    <s v="Evening"/>
    <x v="3"/>
    <x v="0"/>
    <x v="72"/>
    <s v="AAlQarni.c@rer.sa"/>
    <m/>
    <m/>
    <m/>
    <m/>
    <m/>
    <m/>
    <n v="507478073"/>
  </r>
  <r>
    <x v="178"/>
    <s v="M"/>
    <s v="Editor "/>
    <s v="GIS- CONSULTANT"/>
    <s v="14 YR"/>
    <s v="First Registration"/>
    <s v="Evening"/>
    <x v="3"/>
    <x v="0"/>
    <x v="75"/>
    <m/>
    <m/>
    <m/>
    <m/>
    <m/>
    <m/>
    <m/>
    <m/>
  </r>
  <r>
    <x v="179"/>
    <s v="M"/>
    <s v="Editor "/>
    <s v="GIS_QC"/>
    <s v="6 YR"/>
    <s v="First Registration"/>
    <s v="Evening"/>
    <x v="3"/>
    <x v="3"/>
    <x v="76"/>
    <s v="Makthum.c@rer.sa"/>
    <m/>
    <m/>
    <m/>
    <m/>
    <m/>
    <m/>
    <m/>
  </r>
  <r>
    <x v="180"/>
    <s v="F"/>
    <s v="Consultant"/>
    <s v="GIS_ANALYSIS"/>
    <m/>
    <m/>
    <s v="Morning"/>
    <x v="0"/>
    <x v="0"/>
    <x v="35"/>
    <m/>
    <m/>
    <m/>
    <m/>
    <m/>
    <m/>
    <m/>
    <n v="544698468"/>
  </r>
  <r>
    <x v="181"/>
    <s v="M"/>
    <s v="Editor "/>
    <s v="GIS_ANALYSIS"/>
    <s v="1YR 2 MON"/>
    <s v="First Registration"/>
    <s v="Evening"/>
    <x v="3"/>
    <x v="2"/>
    <x v="72"/>
    <m/>
    <m/>
    <m/>
    <m/>
    <m/>
    <m/>
    <m/>
    <m/>
  </r>
  <r>
    <x v="182"/>
    <s v="F"/>
    <s v="Editor "/>
    <s v="GIS_ANALYSIS"/>
    <n v="0"/>
    <s v="First Registration"/>
    <s v="Evening"/>
    <x v="3"/>
    <x v="0"/>
    <x v="72"/>
    <m/>
    <m/>
    <m/>
    <m/>
    <m/>
    <m/>
    <m/>
    <m/>
  </r>
  <r>
    <x v="183"/>
    <s v="F"/>
    <s v="Editor "/>
    <s v="GIS_ANALYSIS"/>
    <s v="3 YR"/>
    <s v="First Registration"/>
    <s v="Evening"/>
    <x v="3"/>
    <x v="0"/>
    <x v="72"/>
    <m/>
    <m/>
    <m/>
    <m/>
    <m/>
    <m/>
    <m/>
    <m/>
  </r>
  <r>
    <x v="184"/>
    <s v="M"/>
    <s v="Editor "/>
    <s v="GIS_ANALYSIS"/>
    <s v="1 YR"/>
    <s v="First Registration"/>
    <s v="Evening"/>
    <x v="3"/>
    <x v="2"/>
    <x v="74"/>
    <m/>
    <m/>
    <m/>
    <m/>
    <m/>
    <m/>
    <m/>
    <m/>
  </r>
  <r>
    <x v="185"/>
    <s v="M"/>
    <s v="Editor "/>
    <s v="GIS_ANALYSIS"/>
    <n v="0"/>
    <s v="First Registration"/>
    <s v="Evening"/>
    <x v="3"/>
    <x v="2"/>
    <x v="77"/>
    <m/>
    <m/>
    <m/>
    <m/>
    <m/>
    <m/>
    <m/>
    <m/>
  </r>
  <r>
    <x v="186"/>
    <s v="M"/>
    <s v="Editor "/>
    <s v="GIS_ANALYSIS"/>
    <n v="0"/>
    <s v="Amana"/>
    <s v="Evening"/>
    <x v="3"/>
    <x v="0"/>
    <x v="71"/>
    <s v="Falotibae.c@rer.sa"/>
    <m/>
    <m/>
    <m/>
    <m/>
    <m/>
    <m/>
    <m/>
  </r>
  <r>
    <x v="187"/>
    <s v="F"/>
    <s v="Editor "/>
    <s v="GIS_ANALYSIS"/>
    <m/>
    <s v="First Registration"/>
    <s v="Evening"/>
    <x v="3"/>
    <x v="0"/>
    <x v="78"/>
    <m/>
    <m/>
    <m/>
    <m/>
    <m/>
    <m/>
    <m/>
    <m/>
  </r>
  <r>
    <x v="188"/>
    <s v="F"/>
    <s v="Editor "/>
    <s v="GIS_ANALYSIS"/>
    <m/>
    <s v="First Registration"/>
    <s v="Evening"/>
    <x v="3"/>
    <x v="0"/>
    <x v="79"/>
    <m/>
    <m/>
    <m/>
    <m/>
    <m/>
    <m/>
    <m/>
    <m/>
  </r>
  <r>
    <x v="189"/>
    <s v="M"/>
    <s v="Editor "/>
    <m/>
    <m/>
    <s v="First Registration"/>
    <s v="Evening"/>
    <x v="0"/>
    <x v="3"/>
    <x v="80"/>
    <m/>
    <m/>
    <m/>
    <m/>
    <m/>
    <m/>
    <m/>
    <m/>
  </r>
  <r>
    <x v="190"/>
    <s v="M"/>
    <s v="Editor "/>
    <m/>
    <m/>
    <s v="First Registration"/>
    <s v="Evening"/>
    <x v="0"/>
    <x v="3"/>
    <x v="81"/>
    <m/>
    <m/>
    <m/>
    <m/>
    <m/>
    <m/>
    <m/>
    <m/>
  </r>
  <r>
    <x v="191"/>
    <s v="M"/>
    <s v="Editor "/>
    <m/>
    <m/>
    <s v="First Registration"/>
    <s v="Evening"/>
    <x v="0"/>
    <x v="3"/>
    <x v="82"/>
    <m/>
    <m/>
    <m/>
    <m/>
    <m/>
    <m/>
    <m/>
    <m/>
  </r>
  <r>
    <x v="192"/>
    <s v="F"/>
    <s v="Editor "/>
    <m/>
    <m/>
    <s v="First Registration"/>
    <s v="Evening"/>
    <x v="0"/>
    <x v="2"/>
    <x v="83"/>
    <m/>
    <m/>
    <m/>
    <m/>
    <m/>
    <m/>
    <m/>
    <m/>
  </r>
  <r>
    <x v="193"/>
    <s v="M"/>
    <s v="Editor "/>
    <m/>
    <m/>
    <s v="First Registration"/>
    <s v="Evening"/>
    <x v="0"/>
    <x v="3"/>
    <x v="81"/>
    <m/>
    <m/>
    <m/>
    <m/>
    <m/>
    <m/>
    <m/>
    <m/>
  </r>
  <r>
    <x v="194"/>
    <s v="M"/>
    <s v="Editor "/>
    <m/>
    <m/>
    <s v="First Registration"/>
    <s v="Evening"/>
    <x v="1"/>
    <x v="3"/>
    <x v="76"/>
    <m/>
    <m/>
    <m/>
    <m/>
    <m/>
    <m/>
    <m/>
    <m/>
  </r>
  <r>
    <x v="195"/>
    <s v="M"/>
    <s v="Editor "/>
    <m/>
    <m/>
    <s v="Amana"/>
    <s v="Evening"/>
    <x v="3"/>
    <x v="0"/>
    <x v="75"/>
    <m/>
    <m/>
    <m/>
    <m/>
    <m/>
    <m/>
    <m/>
    <m/>
  </r>
  <r>
    <x v="196"/>
    <s v="M"/>
    <s v="Editor "/>
    <m/>
    <m/>
    <s v="First Registration"/>
    <s v="Evening"/>
    <x v="3"/>
    <x v="0"/>
    <x v="75"/>
    <m/>
    <m/>
    <m/>
    <m/>
    <m/>
    <m/>
    <m/>
    <m/>
  </r>
  <r>
    <x v="197"/>
    <s v="M"/>
    <s v="Editor "/>
    <m/>
    <m/>
    <s v="First Registration"/>
    <s v="Evening"/>
    <x v="6"/>
    <x v="3"/>
    <x v="73"/>
    <m/>
    <m/>
    <m/>
    <m/>
    <m/>
    <m/>
    <m/>
    <m/>
  </r>
  <r>
    <x v="198"/>
    <s v="M"/>
    <s v="Editor "/>
    <m/>
    <m/>
    <s v="First Registration"/>
    <s v="Evening"/>
    <x v="6"/>
    <x v="2"/>
    <x v="75"/>
    <m/>
    <m/>
    <m/>
    <m/>
    <m/>
    <m/>
    <m/>
    <m/>
  </r>
  <r>
    <x v="199"/>
    <s v="F"/>
    <s v="Editor "/>
    <m/>
    <m/>
    <s v="First Registration"/>
    <s v="Evening"/>
    <x v="3"/>
    <x v="3"/>
    <x v="76"/>
    <m/>
    <m/>
    <m/>
    <m/>
    <m/>
    <m/>
    <m/>
    <m/>
  </r>
  <r>
    <x v="200"/>
    <s v="F"/>
    <s v="Editor "/>
    <m/>
    <m/>
    <s v="First Registration"/>
    <s v="Evening"/>
    <x v="3"/>
    <x v="3"/>
    <x v="76"/>
    <m/>
    <m/>
    <m/>
    <m/>
    <m/>
    <m/>
    <m/>
    <m/>
  </r>
  <r>
    <x v="201"/>
    <s v="F"/>
    <s v="Editor "/>
    <m/>
    <m/>
    <s v="First Registration"/>
    <s v="Evening"/>
    <x v="3"/>
    <x v="3"/>
    <x v="81"/>
    <m/>
    <m/>
    <m/>
    <m/>
    <m/>
    <m/>
    <m/>
    <m/>
  </r>
  <r>
    <x v="202"/>
    <s v="F"/>
    <s v="Editor "/>
    <m/>
    <m/>
    <s v="First Registration"/>
    <s v="Evening"/>
    <x v="3"/>
    <x v="3"/>
    <x v="76"/>
    <m/>
    <m/>
    <m/>
    <m/>
    <m/>
    <m/>
    <m/>
    <m/>
  </r>
  <r>
    <x v="203"/>
    <s v="F"/>
    <s v="Editor "/>
    <m/>
    <m/>
    <s v="First Registration"/>
    <s v="Evening"/>
    <x v="3"/>
    <x v="3"/>
    <x v="76"/>
    <m/>
    <m/>
    <m/>
    <m/>
    <m/>
    <m/>
    <m/>
    <m/>
  </r>
  <r>
    <x v="204"/>
    <s v="F"/>
    <s v="Editor "/>
    <m/>
    <m/>
    <s v="First Registration"/>
    <s v="Evening"/>
    <x v="1"/>
    <x v="3"/>
    <x v="81"/>
    <m/>
    <m/>
    <m/>
    <m/>
    <m/>
    <m/>
    <m/>
    <m/>
  </r>
  <r>
    <x v="205"/>
    <s v="F"/>
    <s v="Editor "/>
    <m/>
    <m/>
    <s v="First Registration"/>
    <s v="Evening"/>
    <x v="1"/>
    <x v="3"/>
    <x v="84"/>
    <m/>
    <m/>
    <m/>
    <m/>
    <m/>
    <m/>
    <m/>
    <m/>
  </r>
  <r>
    <x v="206"/>
    <s v="M"/>
    <s v="Editor "/>
    <m/>
    <m/>
    <s v="First Registration"/>
    <s v="Evening"/>
    <x v="1"/>
    <x v="3"/>
    <x v="81"/>
    <m/>
    <m/>
    <m/>
    <m/>
    <m/>
    <m/>
    <m/>
    <m/>
  </r>
  <r>
    <x v="207"/>
    <s v="M"/>
    <s v="Editor "/>
    <m/>
    <m/>
    <s v="First Registration"/>
    <s v="Evening"/>
    <x v="1"/>
    <x v="0"/>
    <x v="82"/>
    <m/>
    <m/>
    <m/>
    <m/>
    <m/>
    <m/>
    <m/>
    <m/>
  </r>
  <r>
    <x v="208"/>
    <s v="M"/>
    <s v="Editor "/>
    <m/>
    <m/>
    <s v="First Registration"/>
    <s v="Evening"/>
    <x v="1"/>
    <x v="3"/>
    <x v="76"/>
    <m/>
    <m/>
    <m/>
    <m/>
    <m/>
    <m/>
    <m/>
    <m/>
  </r>
  <r>
    <x v="209"/>
    <s v="M"/>
    <s v="Editor "/>
    <m/>
    <m/>
    <s v="First Registration"/>
    <s v="Evening"/>
    <x v="1"/>
    <x v="3"/>
    <x v="82"/>
    <m/>
    <m/>
    <m/>
    <m/>
    <m/>
    <m/>
    <m/>
    <m/>
  </r>
  <r>
    <x v="210"/>
    <s v="F"/>
    <s v="Editor "/>
    <m/>
    <m/>
    <s v="First Registration"/>
    <s v="Evening"/>
    <x v="1"/>
    <x v="3"/>
    <x v="81"/>
    <m/>
    <m/>
    <m/>
    <m/>
    <m/>
    <m/>
    <m/>
    <m/>
  </r>
  <r>
    <x v="211"/>
    <s v="M"/>
    <s v="Editor "/>
    <m/>
    <m/>
    <s v="First Registration"/>
    <s v="Evening"/>
    <x v="3"/>
    <x v="3"/>
    <x v="81"/>
    <m/>
    <m/>
    <m/>
    <m/>
    <m/>
    <m/>
    <m/>
    <m/>
  </r>
  <r>
    <x v="212"/>
    <s v="F"/>
    <s v="Editor "/>
    <m/>
    <m/>
    <s v="First Registration"/>
    <s v="Evening"/>
    <x v="1"/>
    <x v="3"/>
    <x v="85"/>
    <m/>
    <m/>
    <m/>
    <m/>
    <m/>
    <m/>
    <m/>
    <m/>
  </r>
  <r>
    <x v="213"/>
    <s v="F"/>
    <s v="Editor "/>
    <m/>
    <m/>
    <s v="First Registration"/>
    <s v="Evening"/>
    <x v="1"/>
    <x v="3"/>
    <x v="76"/>
    <m/>
    <m/>
    <m/>
    <m/>
    <m/>
    <m/>
    <m/>
    <m/>
  </r>
  <r>
    <x v="214"/>
    <s v="F"/>
    <s v="Editor "/>
    <m/>
    <m/>
    <s v="First Registration"/>
    <s v="Evening"/>
    <x v="1"/>
    <x v="3"/>
    <x v="76"/>
    <m/>
    <m/>
    <m/>
    <m/>
    <m/>
    <m/>
    <m/>
    <m/>
  </r>
  <r>
    <x v="215"/>
    <s v="F"/>
    <s v="Editor "/>
    <m/>
    <m/>
    <s v="First Registration"/>
    <s v="Evening"/>
    <x v="1"/>
    <x v="3"/>
    <x v="86"/>
    <m/>
    <m/>
    <m/>
    <m/>
    <m/>
    <m/>
    <m/>
    <m/>
  </r>
  <r>
    <x v="216"/>
    <s v="M"/>
    <s v="Editor "/>
    <m/>
    <m/>
    <s v="First Registration"/>
    <s v="Evening"/>
    <x v="1"/>
    <x v="3"/>
    <x v="81"/>
    <m/>
    <m/>
    <m/>
    <m/>
    <m/>
    <m/>
    <m/>
    <m/>
  </r>
  <r>
    <x v="217"/>
    <s v="M"/>
    <s v="Editor "/>
    <m/>
    <m/>
    <s v="First Registration"/>
    <s v="Evening"/>
    <x v="1"/>
    <x v="3"/>
    <x v="87"/>
    <m/>
    <m/>
    <m/>
    <m/>
    <m/>
    <m/>
    <m/>
    <m/>
  </r>
  <r>
    <x v="218"/>
    <s v="F"/>
    <s v="Editor "/>
    <m/>
    <m/>
    <s v="First Registration"/>
    <s v="Evening"/>
    <x v="1"/>
    <x v="3"/>
    <x v="81"/>
    <m/>
    <m/>
    <m/>
    <m/>
    <m/>
    <m/>
    <m/>
    <m/>
  </r>
  <r>
    <x v="219"/>
    <s v="M"/>
    <s v="Editor "/>
    <m/>
    <m/>
    <s v="First Registration"/>
    <s v="Evening"/>
    <x v="1"/>
    <x v="3"/>
    <x v="76"/>
    <m/>
    <m/>
    <m/>
    <m/>
    <m/>
    <m/>
    <m/>
    <m/>
  </r>
  <r>
    <x v="220"/>
    <s v="F"/>
    <s v="Editor "/>
    <m/>
    <m/>
    <s v="First Registration"/>
    <s v="Evening"/>
    <x v="3"/>
    <x v="3"/>
    <x v="76"/>
    <m/>
    <m/>
    <m/>
    <m/>
    <m/>
    <m/>
    <m/>
    <m/>
  </r>
  <r>
    <x v="221"/>
    <s v="F"/>
    <s v="Editor "/>
    <m/>
    <m/>
    <s v="First Registration"/>
    <s v="Evening"/>
    <x v="3"/>
    <x v="3"/>
    <x v="81"/>
    <m/>
    <m/>
    <m/>
    <m/>
    <m/>
    <m/>
    <m/>
    <m/>
  </r>
  <r>
    <x v="222"/>
    <s v="M"/>
    <s v="Editor "/>
    <m/>
    <m/>
    <s v="First Registration"/>
    <s v="Evening"/>
    <x v="3"/>
    <x v="3"/>
    <x v="76"/>
    <m/>
    <m/>
    <m/>
    <m/>
    <m/>
    <m/>
    <m/>
    <m/>
  </r>
  <r>
    <x v="223"/>
    <s v="M"/>
    <s v="Editor "/>
    <m/>
    <m/>
    <s v="First Registration"/>
    <s v="Evening"/>
    <x v="3"/>
    <x v="3"/>
    <x v="76"/>
    <m/>
    <m/>
    <m/>
    <m/>
    <m/>
    <m/>
    <m/>
    <m/>
  </r>
  <r>
    <x v="224"/>
    <s v="M"/>
    <s v="Editor "/>
    <m/>
    <m/>
    <s v="First Registration"/>
    <s v="Evening"/>
    <x v="3"/>
    <x v="3"/>
    <x v="81"/>
    <m/>
    <m/>
    <m/>
    <m/>
    <m/>
    <m/>
    <m/>
    <m/>
  </r>
  <r>
    <x v="225"/>
    <s v="F"/>
    <s v="Editor "/>
    <m/>
    <m/>
    <s v="First Registration"/>
    <s v="Evening"/>
    <x v="3"/>
    <x v="3"/>
    <x v="76"/>
    <m/>
    <m/>
    <m/>
    <m/>
    <m/>
    <m/>
    <m/>
    <m/>
  </r>
  <r>
    <x v="226"/>
    <s v="F"/>
    <s v="Editor "/>
    <m/>
    <m/>
    <s v="First Registration"/>
    <s v="Evening"/>
    <x v="3"/>
    <x v="3"/>
    <x v="76"/>
    <m/>
    <m/>
    <m/>
    <m/>
    <m/>
    <m/>
    <m/>
    <m/>
  </r>
  <r>
    <x v="227"/>
    <s v="M"/>
    <s v="Editor "/>
    <m/>
    <m/>
    <s v="First Registration"/>
    <s v="Evening"/>
    <x v="3"/>
    <x v="3"/>
    <x v="76"/>
    <m/>
    <m/>
    <m/>
    <m/>
    <m/>
    <m/>
    <m/>
    <m/>
  </r>
  <r>
    <x v="228"/>
    <s v="F"/>
    <s v="Editor "/>
    <m/>
    <m/>
    <s v="First Registration"/>
    <s v="Evening"/>
    <x v="3"/>
    <x v="3"/>
    <x v="76"/>
    <m/>
    <m/>
    <m/>
    <m/>
    <m/>
    <m/>
    <m/>
    <m/>
  </r>
  <r>
    <x v="229"/>
    <s v="M"/>
    <s v="Editor "/>
    <m/>
    <m/>
    <s v="First Registration"/>
    <s v="Evening"/>
    <x v="3"/>
    <x v="3"/>
    <x v="76"/>
    <m/>
    <m/>
    <m/>
    <m/>
    <m/>
    <m/>
    <m/>
    <m/>
  </r>
  <r>
    <x v="230"/>
    <s v="M"/>
    <s v="Editor "/>
    <m/>
    <m/>
    <s v="First Registration"/>
    <s v="Evening"/>
    <x v="0"/>
    <x v="3"/>
    <x v="76"/>
    <m/>
    <m/>
    <m/>
    <m/>
    <m/>
    <m/>
    <m/>
    <m/>
  </r>
  <r>
    <x v="231"/>
    <s v="M"/>
    <s v="Editor "/>
    <m/>
    <m/>
    <s v="First Registration"/>
    <s v="Evening"/>
    <x v="0"/>
    <x v="3"/>
    <x v="76"/>
    <m/>
    <m/>
    <m/>
    <m/>
    <m/>
    <m/>
    <m/>
    <m/>
  </r>
  <r>
    <x v="232"/>
    <s v="M"/>
    <s v="Editor "/>
    <m/>
    <m/>
    <s v="First Registration"/>
    <s v="Evening"/>
    <x v="0"/>
    <x v="3"/>
    <x v="76"/>
    <m/>
    <m/>
    <m/>
    <m/>
    <m/>
    <m/>
    <m/>
    <m/>
  </r>
  <r>
    <x v="233"/>
    <s v="M"/>
    <s v="Editor "/>
    <m/>
    <m/>
    <s v="First Registration"/>
    <s v="Evening"/>
    <x v="0"/>
    <x v="3"/>
    <x v="81"/>
    <m/>
    <m/>
    <m/>
    <m/>
    <m/>
    <m/>
    <m/>
    <m/>
  </r>
  <r>
    <x v="234"/>
    <s v="M"/>
    <s v="Editor "/>
    <m/>
    <m/>
    <s v="First Registration"/>
    <s v="Evening"/>
    <x v="0"/>
    <x v="3"/>
    <x v="81"/>
    <m/>
    <m/>
    <m/>
    <m/>
    <m/>
    <m/>
    <m/>
    <m/>
  </r>
  <r>
    <x v="235"/>
    <s v="M"/>
    <s v="Editor "/>
    <m/>
    <m/>
    <s v="First Registration"/>
    <s v="Evening"/>
    <x v="0"/>
    <x v="3"/>
    <x v="76"/>
    <m/>
    <m/>
    <m/>
    <m/>
    <m/>
    <m/>
    <m/>
    <m/>
  </r>
  <r>
    <x v="236"/>
    <s v="M"/>
    <s v="Editor "/>
    <m/>
    <m/>
    <s v="First Registration"/>
    <s v="Evening"/>
    <x v="0"/>
    <x v="3"/>
    <x v="76"/>
    <m/>
    <m/>
    <m/>
    <m/>
    <m/>
    <m/>
    <m/>
    <m/>
  </r>
  <r>
    <x v="237"/>
    <s v="F"/>
    <s v="Editor "/>
    <m/>
    <m/>
    <s v="First Registration"/>
    <s v="Evening"/>
    <x v="1"/>
    <x v="3"/>
    <x v="81"/>
    <m/>
    <m/>
    <m/>
    <m/>
    <m/>
    <m/>
    <m/>
    <m/>
  </r>
  <r>
    <x v="238"/>
    <s v="F"/>
    <s v="Editor "/>
    <m/>
    <m/>
    <s v="First Registration"/>
    <s v="Evening"/>
    <x v="1"/>
    <x v="3"/>
    <x v="81"/>
    <m/>
    <m/>
    <m/>
    <m/>
    <m/>
    <m/>
    <m/>
    <m/>
  </r>
  <r>
    <x v="239"/>
    <s v="M"/>
    <s v="Editor "/>
    <m/>
    <m/>
    <s v="First Registration"/>
    <s v="Evening"/>
    <x v="1"/>
    <x v="3"/>
    <x v="86"/>
    <m/>
    <m/>
    <m/>
    <m/>
    <m/>
    <m/>
    <m/>
    <m/>
  </r>
  <r>
    <x v="240"/>
    <s v="M"/>
    <s v="Editor "/>
    <m/>
    <m/>
    <s v="Amana"/>
    <s v="Evening"/>
    <x v="1"/>
    <x v="0"/>
    <x v="88"/>
    <m/>
    <m/>
    <m/>
    <m/>
    <m/>
    <m/>
    <m/>
    <m/>
  </r>
  <r>
    <x v="241"/>
    <s v="M"/>
    <s v="Editor "/>
    <m/>
    <m/>
    <s v="First Registration"/>
    <s v="Evening"/>
    <x v="1"/>
    <x v="3"/>
    <x v="76"/>
    <m/>
    <m/>
    <m/>
    <m/>
    <m/>
    <m/>
    <m/>
    <m/>
  </r>
  <r>
    <x v="242"/>
    <s v="M"/>
    <s v="Editor "/>
    <m/>
    <m/>
    <s v="First Registration"/>
    <s v="Evening"/>
    <x v="0"/>
    <x v="3"/>
    <x v="76"/>
    <m/>
    <m/>
    <m/>
    <m/>
    <m/>
    <m/>
    <m/>
    <m/>
  </r>
  <r>
    <x v="243"/>
    <s v="M"/>
    <s v="Editor "/>
    <m/>
    <m/>
    <s v="First Registration"/>
    <s v="Evening"/>
    <x v="0"/>
    <x v="3"/>
    <x v="81"/>
    <m/>
    <m/>
    <m/>
    <m/>
    <m/>
    <m/>
    <m/>
    <m/>
  </r>
  <r>
    <x v="244"/>
    <s v="M"/>
    <s v="Editor "/>
    <m/>
    <m/>
    <s v="First Registration"/>
    <s v="Evening"/>
    <x v="1"/>
    <x v="3"/>
    <x v="81"/>
    <m/>
    <m/>
    <m/>
    <m/>
    <m/>
    <m/>
    <m/>
    <m/>
  </r>
  <r>
    <x v="245"/>
    <s v="M"/>
    <s v="Editor "/>
    <m/>
    <m/>
    <s v="First Registration"/>
    <s v="Evening"/>
    <x v="1"/>
    <x v="3"/>
    <x v="81"/>
    <m/>
    <m/>
    <m/>
    <m/>
    <m/>
    <m/>
    <m/>
    <m/>
  </r>
  <r>
    <x v="246"/>
    <s v="M"/>
    <s v="Editor "/>
    <m/>
    <m/>
    <s v="First Registration"/>
    <s v="Evening"/>
    <x v="1"/>
    <x v="3"/>
    <x v="81"/>
    <m/>
    <m/>
    <m/>
    <m/>
    <m/>
    <m/>
    <m/>
    <m/>
  </r>
  <r>
    <x v="247"/>
    <s v="F"/>
    <s v="Editor "/>
    <m/>
    <m/>
    <s v="First Registration"/>
    <s v="Evening"/>
    <x v="1"/>
    <x v="3"/>
    <x v="81"/>
    <m/>
    <m/>
    <m/>
    <m/>
    <m/>
    <m/>
    <m/>
    <m/>
  </r>
  <r>
    <x v="248"/>
    <s v="M"/>
    <s v="Editor "/>
    <m/>
    <m/>
    <s v="First Registration"/>
    <s v="Evening"/>
    <x v="1"/>
    <x v="3"/>
    <x v="81"/>
    <m/>
    <m/>
    <m/>
    <m/>
    <m/>
    <m/>
    <m/>
    <m/>
  </r>
  <r>
    <x v="249"/>
    <s v="M"/>
    <s v="Editor "/>
    <m/>
    <m/>
    <s v="First Registration"/>
    <s v="Evening"/>
    <x v="1"/>
    <x v="3"/>
    <x v="81"/>
    <m/>
    <m/>
    <m/>
    <m/>
    <m/>
    <m/>
    <m/>
    <m/>
  </r>
  <r>
    <x v="250"/>
    <s v="M"/>
    <s v="Editor "/>
    <m/>
    <m/>
    <s v="First Registration"/>
    <s v="Evening"/>
    <x v="1"/>
    <x v="3"/>
    <x v="81"/>
    <m/>
    <m/>
    <m/>
    <m/>
    <m/>
    <m/>
    <m/>
    <m/>
  </r>
  <r>
    <x v="251"/>
    <s v="M"/>
    <s v="Editor "/>
    <m/>
    <m/>
    <s v="First Registration"/>
    <s v="Evening"/>
    <x v="1"/>
    <x v="3"/>
    <x v="89"/>
    <m/>
    <m/>
    <m/>
    <m/>
    <m/>
    <m/>
    <m/>
    <m/>
  </r>
  <r>
    <x v="252"/>
    <s v="F"/>
    <s v="Editor "/>
    <m/>
    <m/>
    <s v="First Registration"/>
    <s v="Evening"/>
    <x v="1"/>
    <x v="3"/>
    <x v="81"/>
    <m/>
    <m/>
    <m/>
    <m/>
    <m/>
    <m/>
    <m/>
    <m/>
  </r>
  <r>
    <x v="253"/>
    <s v="M"/>
    <s v="Editor "/>
    <m/>
    <m/>
    <s v="First Registration"/>
    <s v="Evening"/>
    <x v="1"/>
    <x v="3"/>
    <x v="81"/>
    <m/>
    <m/>
    <m/>
    <m/>
    <m/>
    <m/>
    <m/>
    <m/>
  </r>
  <r>
    <x v="254"/>
    <s v="F"/>
    <s v="Editor "/>
    <m/>
    <m/>
    <s v="First Registration"/>
    <s v="Evening"/>
    <x v="0"/>
    <x v="3"/>
    <x v="8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5B0D2-E3DE-431B-8F3C-ACA365AB41F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 rowPageCount="1" colPageCount="1"/>
  <pivotFields count="20"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x="2"/>
        <item x="0"/>
        <item x="3"/>
        <item x="1"/>
        <item h="1" x="4"/>
        <item h="1" x="5"/>
        <item h="1" x="6"/>
        <item t="default"/>
      </items>
    </pivotField>
    <pivotField showAll="0"/>
    <pivotField showAll="0">
      <items count="91">
        <item x="21"/>
        <item x="9"/>
        <item x="36"/>
        <item x="30"/>
        <item x="17"/>
        <item x="11"/>
        <item x="23"/>
        <item x="16"/>
        <item x="27"/>
        <item x="10"/>
        <item x="4"/>
        <item x="31"/>
        <item x="32"/>
        <item x="34"/>
        <item x="22"/>
        <item x="0"/>
        <item x="8"/>
        <item x="24"/>
        <item x="6"/>
        <item x="14"/>
        <item x="5"/>
        <item x="12"/>
        <item x="13"/>
        <item x="28"/>
        <item x="33"/>
        <item x="15"/>
        <item x="2"/>
        <item x="18"/>
        <item x="26"/>
        <item x="7"/>
        <item x="3"/>
        <item x="19"/>
        <item x="25"/>
        <item x="29"/>
        <item x="40"/>
        <item x="20"/>
        <item x="38"/>
        <item x="37"/>
        <item x="41"/>
        <item x="62"/>
        <item x="42"/>
        <item x="1"/>
        <item x="39"/>
        <item x="44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1"/>
        <item x="60"/>
        <item x="63"/>
        <item x="65"/>
        <item x="64"/>
        <item x="66"/>
        <item x="67"/>
        <item x="68"/>
        <item x="70"/>
        <item x="71"/>
        <item x="69"/>
        <item x="75"/>
        <item x="76"/>
        <item x="35"/>
        <item x="72"/>
        <item x="73"/>
        <item x="74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h="1" x="0"/>
        <item x="1"/>
        <item x="2"/>
        <item x="3"/>
        <item h="1" x="4"/>
        <item t="default"/>
      </items>
    </pivotField>
  </pivotFields>
  <rowFields count="2">
    <field x="19"/>
    <field x="18"/>
  </rowFields>
  <rowItems count="21">
    <i>
      <x v="1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t="grand">
      <x/>
    </i>
  </rowItems>
  <colItems count="1">
    <i/>
  </colItems>
  <pageFields count="1">
    <pageField fld="7" hier="-1"/>
  </pageFields>
  <dataFields count="1">
    <dataField name="Count of Name" fld="0" subtotal="count" baseField="0" baseItem="0"/>
  </dataFields>
  <formats count="25"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7" type="button" dataOnly="0" labelOnly="1" outline="0" axis="axisPage" fieldPosition="0"/>
    </format>
    <format dxfId="390">
      <pivotArea type="topRight" dataOnly="0" labelOnly="1" outline="0" fieldPosition="0"/>
    </format>
    <format dxfId="389">
      <pivotArea dataOnly="0" labelOnly="1" grandRow="1" outline="0" fieldPosition="0"/>
    </format>
    <format dxfId="388">
      <pivotArea dataOnly="0" labelOnly="1" fieldPosition="0">
        <references count="1">
          <reference field="7" count="0"/>
        </references>
      </pivotArea>
    </format>
    <format dxfId="387">
      <pivotArea dataOnly="0" labelOnly="1" grandCol="1" outline="0" fieldPosition="0"/>
    </format>
    <format dxfId="386">
      <pivotArea type="all" dataOnly="0" outline="0" fieldPosition="0"/>
    </format>
    <format dxfId="385">
      <pivotArea outline="0" collapsedLevelsAreSubtotals="1" fieldPosition="0"/>
    </format>
    <format dxfId="384">
      <pivotArea type="origin" dataOnly="0" labelOnly="1" outline="0" fieldPosition="0"/>
    </format>
    <format dxfId="383">
      <pivotArea field="7" type="button" dataOnly="0" labelOnly="1" outline="0" axis="axisPage" fieldPosition="0"/>
    </format>
    <format dxfId="382">
      <pivotArea type="topRight" dataOnly="0" labelOnly="1" outline="0" fieldPosition="0"/>
    </format>
    <format dxfId="381">
      <pivotArea dataOnly="0" labelOnly="1" grandRow="1" outline="0" fieldPosition="0"/>
    </format>
    <format dxfId="380">
      <pivotArea dataOnly="0" labelOnly="1" fieldPosition="0">
        <references count="1">
          <reference field="7" count="0"/>
        </references>
      </pivotArea>
    </format>
    <format dxfId="379">
      <pivotArea dataOnly="0" labelOnly="1" grandCol="1" outline="0" fieldPosition="0"/>
    </format>
    <format dxfId="378">
      <pivotArea type="all" dataOnly="0" outline="0" fieldPosition="0"/>
    </format>
    <format dxfId="377">
      <pivotArea outline="0" collapsedLevelsAreSubtotals="1" fieldPosition="0"/>
    </format>
    <format dxfId="376">
      <pivotArea field="19" type="button" dataOnly="0" labelOnly="1" outline="0" axis="axisRow" fieldPosition="0"/>
    </format>
    <format dxfId="375">
      <pivotArea dataOnly="0" labelOnly="1" fieldPosition="0">
        <references count="1">
          <reference field="19" count="0"/>
        </references>
      </pivotArea>
    </format>
    <format dxfId="374">
      <pivotArea dataOnly="0" labelOnly="1" grandRow="1" outline="0" fieldPosition="0"/>
    </format>
    <format dxfId="373">
      <pivotArea dataOnly="0" labelOnly="1" fieldPosition="0">
        <references count="2">
          <reference field="18" count="2">
            <x v="11"/>
            <x v="12"/>
          </reference>
          <reference field="19" count="1" selected="0">
            <x v="1"/>
          </reference>
        </references>
      </pivotArea>
    </format>
    <format dxfId="372">
      <pivotArea dataOnly="0" labelOnly="1" fieldPosition="0">
        <references count="2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9" count="1" selected="0">
            <x v="2"/>
          </reference>
        </references>
      </pivotArea>
    </format>
    <format dxfId="371">
      <pivotArea dataOnly="0" labelOnly="1" fieldPosition="0">
        <references count="2">
          <reference field="18" count="3">
            <x v="1"/>
            <x v="2"/>
            <x v="3"/>
          </reference>
          <reference field="19" count="1" selected="0">
            <x v="3"/>
          </reference>
        </references>
      </pivotArea>
    </format>
    <format dxfId="3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02DA54-33AD-41CD-89E7-1B87BF404C36}" name="Table135" displayName="Table135" ref="B1:T367" headerRowDxfId="437" dataDxfId="435" totalsRowDxfId="433" headerRowBorderDxfId="436" tableBorderDxfId="434" totalsRowBorderDxfId="432">
  <autoFilter ref="B1:T367" xr:uid="{D702DA54-33AD-41CD-89E7-1B87BF404C36}"/>
  <tableColumns count="19">
    <tableColumn id="1" xr3:uid="{C8ACFB78-73E0-4AAE-A298-BA9183B6C181}" name="Name" totalsRowLabel="Total" dataDxfId="431" totalsRowDxfId="430"/>
    <tableColumn id="11" xr3:uid="{D5E42074-7F09-475D-BC0B-7CB6238B49E2}" name="Gender" dataDxfId="429" totalsRowDxfId="428"/>
    <tableColumn id="18" xr3:uid="{55C3AE56-7846-4E67-B850-3C55B82DDAF0}" name="Nationality" dataDxfId="427" totalsRowDxfId="426"/>
    <tableColumn id="2" xr3:uid="{5AC10B7C-B384-4834-B969-AE026881AD1B}" name="Role" totalsRowFunction="count" dataDxfId="425" totalsRowDxfId="424"/>
    <tableColumn id="17" xr3:uid="{E10D0821-9B19-41C1-8087-32B642E4A8E4}" name="Job Title" dataDxfId="423" totalsRowDxfId="422"/>
    <tableColumn id="4" xr3:uid="{F6C5B179-C684-4FCE-9609-E7F4F3732A93}" name="Years of Experience" dataDxfId="421" totalsRowDxfId="420"/>
    <tableColumn id="3" xr3:uid="{815963CE-A4F8-4B66-BB47-954B147353CE}" name="Team" dataDxfId="419" totalsRowDxfId="418"/>
    <tableColumn id="5" xr3:uid="{81E23080-C0C5-4045-BB71-7BBBB9F7722C}" name="Shift" dataDxfId="417" totalsRowDxfId="416"/>
    <tableColumn id="6" xr3:uid="{ADA37B92-A8CA-483E-B172-F84453D014A4}" name="Company" dataDxfId="415" totalsRowDxfId="414"/>
    <tableColumn id="16" xr3:uid="{0DB2133D-0943-44EC-884E-86EAF460E7FB}" name="Joined " dataDxfId="413" totalsRowDxfId="412"/>
    <tableColumn id="7" xr3:uid="{7FA205B9-2323-413E-AF07-931B3D9E0E75}" name="Date of join" dataDxfId="411" totalsRowDxfId="410"/>
    <tableColumn id="8" xr3:uid="{F033BC0E-123D-485D-A5AC-6A731CB6DFD6}" name="Email" dataDxfId="409" totalsRowDxfId="408"/>
    <tableColumn id="9" xr3:uid="{8D3D97B2-B71C-44CD-9996-6434CCD435CA}" name="send Email to C.S &amp; NDA " dataDxfId="407" totalsRowDxfId="406"/>
    <tableColumn id="10" xr3:uid="{FCC3DD6D-B7C6-47CC-A5EF-9228AD4157D8}" name="Creat emil" dataDxfId="405" totalsRowDxfId="404"/>
    <tableColumn id="12" xr3:uid="{EF966D4B-3CBF-416E-8716-52F44432C087}" name="Platform " dataDxfId="403" totalsRowDxfId="402"/>
    <tableColumn id="13" xr3:uid="{9ED2AB3C-6620-4CDF-A413-E76592DAA875}" name="ARC GIS" dataDxfId="401" totalsRowDxfId="400"/>
    <tableColumn id="14" xr3:uid="{4DBB62CF-CAEC-40B0-B352-D74CB390363C}" name="Microsofrt APP " dataDxfId="399" totalsRowDxfId="398"/>
    <tableColumn id="15" xr3:uid="{ADEC3553-0A0C-457C-8F7B-F96E0A416CDD}" name="Entry Access " dataDxfId="397" totalsRowDxfId="396"/>
    <tableColumn id="20" xr3:uid="{A7697457-AD05-4C4A-A8B6-C872A0F0A4B0}" name="Mobile Number" dataDxfId="39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CC86A9-2994-4F51-AE80-0CD4CCEF0530}" name="Table13" displayName="Table13" ref="B1:D35" totalsRowCount="1" headerRowDxfId="369" dataDxfId="367" totalsRowDxfId="365" headerRowBorderDxfId="368" tableBorderDxfId="366" totalsRowBorderDxfId="364">
  <autoFilter ref="B1:D34" xr:uid="{67FE99B4-EA40-48DA-B1AD-4E92AC56CC77}"/>
  <sortState xmlns:xlrd2="http://schemas.microsoft.com/office/spreadsheetml/2017/richdata2" ref="B2:D30">
    <sortCondition descending="1" ref="C1:C30"/>
  </sortState>
  <tableColumns count="3">
    <tableColumn id="1" xr3:uid="{B14C1903-1F41-4D8B-9DE0-0AA8EAE6A106}" name="Name" totalsRowLabel="Total" dataDxfId="363" totalsRowDxfId="362"/>
    <tableColumn id="2" xr3:uid="{F3689D9A-7F8F-44E9-B4BC-69714998BEEC}" name="Role" totalsRowFunction="count" dataDxfId="361" totalsRowDxfId="360"/>
    <tableColumn id="3" xr3:uid="{757BE486-5AAF-4E88-B456-1709BD04A44E}" name="Team" dataDxfId="359" totalsRowDxfId="3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71CA54-BF3A-4086-B25C-65D811F02315}" name="Table146" displayName="Table146" ref="B1:C45" totalsRowCount="1" headerRowDxfId="357" totalsRowDxfId="354" headerRowBorderDxfId="356" tableBorderDxfId="355" totalsRowBorderDxfId="353">
  <autoFilter ref="B1:C44" xr:uid="{67FE99B4-EA40-48DA-B1AD-4E92AC56CC77}"/>
  <tableColumns count="2">
    <tableColumn id="1" xr3:uid="{4324EE74-C055-452A-A931-0EA0C42CB0AB}" name="Name" totalsRowFunction="count" dataDxfId="352" totalsRowDxfId="351"/>
    <tableColumn id="2" xr3:uid="{1D0ACAA1-C941-4F0A-A2B4-585FB8D372E1}" name="Role" totalsRowFunction="count" dataDxfId="350" totalsRowDxfId="34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mailto:idmohammed.c@rer.sa" TargetMode="External"/><Relationship Id="rId18" Type="http://schemas.openxmlformats.org/officeDocument/2006/relationships/hyperlink" Target="mailto:falsubaie.c@rer.sa" TargetMode="External"/><Relationship Id="rId26" Type="http://schemas.openxmlformats.org/officeDocument/2006/relationships/hyperlink" Target="mailto:AAlQahtani.c@rer.sa" TargetMode="External"/><Relationship Id="rId3" Type="http://schemas.openxmlformats.org/officeDocument/2006/relationships/hyperlink" Target="mailto:ASadeq.c@rer.sa" TargetMode="External"/><Relationship Id="rId21" Type="http://schemas.openxmlformats.org/officeDocument/2006/relationships/hyperlink" Target="mailto:Iabdullah.c@rer.sa" TargetMode="External"/><Relationship Id="rId34" Type="http://schemas.openxmlformats.org/officeDocument/2006/relationships/printerSettings" Target="../printerSettings/printerSettings12.bin"/><Relationship Id="rId7" Type="http://schemas.openxmlformats.org/officeDocument/2006/relationships/hyperlink" Target="mailto:MHamed.c@Rer.sa" TargetMode="External"/><Relationship Id="rId12" Type="http://schemas.openxmlformats.org/officeDocument/2006/relationships/hyperlink" Target="mailto:rqasim.c@rer.sa" TargetMode="External"/><Relationship Id="rId17" Type="http://schemas.openxmlformats.org/officeDocument/2006/relationships/hyperlink" Target="mailto:aaloufi.c@rer.sa" TargetMode="External"/><Relationship Id="rId25" Type="http://schemas.openxmlformats.org/officeDocument/2006/relationships/hyperlink" Target="mailto:Falmutairi.c@rer.sa" TargetMode="External"/><Relationship Id="rId33" Type="http://schemas.openxmlformats.org/officeDocument/2006/relationships/hyperlink" Target="mailto:FOsman.c@rer.sa" TargetMode="External"/><Relationship Id="rId2" Type="http://schemas.openxmlformats.org/officeDocument/2006/relationships/hyperlink" Target="mailto:amahmmod.c@rer.sa" TargetMode="External"/><Relationship Id="rId16" Type="http://schemas.openxmlformats.org/officeDocument/2006/relationships/hyperlink" Target="mailto:salsubaie.c@rer.sa" TargetMode="External"/><Relationship Id="rId20" Type="http://schemas.openxmlformats.org/officeDocument/2006/relationships/hyperlink" Target="mailto:masiri.c@rer.sa" TargetMode="External"/><Relationship Id="rId29" Type="http://schemas.openxmlformats.org/officeDocument/2006/relationships/hyperlink" Target="mailto:Malshebani.c@rer.sa" TargetMode="External"/><Relationship Id="rId1" Type="http://schemas.openxmlformats.org/officeDocument/2006/relationships/hyperlink" Target="mailto:aalkhouli.c@rer.sa" TargetMode="External"/><Relationship Id="rId6" Type="http://schemas.openxmlformats.org/officeDocument/2006/relationships/hyperlink" Target="https://emcp.bluvalt.com/Default.aspx?pid=SpaceExchangeServer&amp;mid=215&amp;ctl=edit_user&amp;SpaceID=21&amp;AccountID=4808&amp;ItemID=141&amp;Context=User" TargetMode="External"/><Relationship Id="rId11" Type="http://schemas.openxmlformats.org/officeDocument/2006/relationships/hyperlink" Target="mailto:saljakhideb.c@rer.sa" TargetMode="External"/><Relationship Id="rId24" Type="http://schemas.openxmlformats.org/officeDocument/2006/relationships/hyperlink" Target="mailto:Malbgmi.c@rer.sa" TargetMode="External"/><Relationship Id="rId32" Type="http://schemas.openxmlformats.org/officeDocument/2006/relationships/hyperlink" Target="mailto:Gsalem.c@Rer.sa" TargetMode="External"/><Relationship Id="rId5" Type="http://schemas.openxmlformats.org/officeDocument/2006/relationships/hyperlink" Target="mailto:hselim.c@rer.sa" TargetMode="External"/><Relationship Id="rId15" Type="http://schemas.openxmlformats.org/officeDocument/2006/relationships/hyperlink" Target="mailto:salafif.c@rer.sa" TargetMode="External"/><Relationship Id="rId23" Type="http://schemas.openxmlformats.org/officeDocument/2006/relationships/hyperlink" Target="mailto:baldosri.c@rer.sa" TargetMode="External"/><Relationship Id="rId28" Type="http://schemas.openxmlformats.org/officeDocument/2006/relationships/hyperlink" Target="mailto:MAlSayf.c@rer.sa" TargetMode="External"/><Relationship Id="rId10" Type="http://schemas.openxmlformats.org/officeDocument/2006/relationships/hyperlink" Target="mailto:rahmed.c@rer.sa" TargetMode="External"/><Relationship Id="rId19" Type="http://schemas.openxmlformats.org/officeDocument/2006/relationships/hyperlink" Target="mailto:kalwaleed.c@rer.sa" TargetMode="External"/><Relationship Id="rId31" Type="http://schemas.openxmlformats.org/officeDocument/2006/relationships/hyperlink" Target="mailto:Abladi.c@Rer.sa" TargetMode="External"/><Relationship Id="rId4" Type="http://schemas.openxmlformats.org/officeDocument/2006/relationships/hyperlink" Target="mailto:agandour.c@rer.sa" TargetMode="External"/><Relationship Id="rId9" Type="http://schemas.openxmlformats.org/officeDocument/2006/relationships/hyperlink" Target="mailto:oazab.c@rer.sa%20&#160;" TargetMode="External"/><Relationship Id="rId14" Type="http://schemas.openxmlformats.org/officeDocument/2006/relationships/hyperlink" Target="mailto:naltayyar.c@rer.sa" TargetMode="External"/><Relationship Id="rId22" Type="http://schemas.openxmlformats.org/officeDocument/2006/relationships/hyperlink" Target="mailto:aalmusnid.c@rer.sa" TargetMode="External"/><Relationship Id="rId27" Type="http://schemas.openxmlformats.org/officeDocument/2006/relationships/hyperlink" Target="mailto:MAlMutairi.c@rer.sa" TargetMode="External"/><Relationship Id="rId30" Type="http://schemas.openxmlformats.org/officeDocument/2006/relationships/hyperlink" Target="mailto:Salomran.c@rer.sa" TargetMode="External"/><Relationship Id="rId8" Type="http://schemas.openxmlformats.org/officeDocument/2006/relationships/hyperlink" Target="mailto:mjaafar.c@rer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8393-A746-4F9A-A0C6-097F94334817}">
  <sheetPr codeName="Sheet1">
    <tabColor theme="4"/>
  </sheetPr>
  <dimension ref="A1:XFD367"/>
  <sheetViews>
    <sheetView tabSelected="1" zoomScale="74" zoomScaleNormal="55" workbookViewId="0">
      <pane xSplit="2" topLeftCell="N1" activePane="topRight" state="frozen"/>
      <selection activeCell="J23" sqref="J23"/>
      <selection pane="topRight" activeCell="A2" sqref="A2:T1048576"/>
    </sheetView>
  </sheetViews>
  <sheetFormatPr defaultColWidth="9.109375" defaultRowHeight="14.4" x14ac:dyDescent="0.3"/>
  <cols>
    <col min="1" max="1" width="17.33203125" style="50" customWidth="1"/>
    <col min="2" max="2" width="56.109375" style="50" customWidth="1"/>
    <col min="3" max="4" width="16.21875" style="50" customWidth="1"/>
    <col min="5" max="5" width="22.77734375" style="50" bestFit="1" customWidth="1"/>
    <col min="6" max="7" width="22.77734375" style="50" customWidth="1"/>
    <col min="8" max="8" width="30.5546875" style="50" customWidth="1"/>
    <col min="9" max="10" width="20.77734375" style="50" customWidth="1"/>
    <col min="11" max="11" width="27.109375" style="50" customWidth="1"/>
    <col min="12" max="12" width="29.44140625" style="114" customWidth="1"/>
    <col min="13" max="13" width="56" style="50" customWidth="1"/>
    <col min="14" max="14" width="32.77734375" style="50" customWidth="1"/>
    <col min="15" max="15" width="23.5546875" style="43" customWidth="1"/>
    <col min="16" max="16" width="14.44140625" style="43" bestFit="1" customWidth="1"/>
    <col min="17" max="17" width="18.77734375" style="43" customWidth="1"/>
    <col min="18" max="18" width="20.21875" style="43" bestFit="1" customWidth="1"/>
    <col min="19" max="19" width="17.77734375" style="43" bestFit="1" customWidth="1"/>
    <col min="20" max="20" width="46.5546875" style="115" customWidth="1"/>
    <col min="22" max="22" width="21.77734375" style="14" bestFit="1" customWidth="1"/>
    <col min="23" max="23" width="15.77734375" style="14" customWidth="1"/>
    <col min="24" max="24" width="21.77734375" style="14" bestFit="1" customWidth="1"/>
    <col min="25" max="25" width="15.77734375" style="14" customWidth="1"/>
    <col min="26" max="27" width="15.77734375" style="13" customWidth="1"/>
    <col min="28" max="28" width="22.21875" style="13" bestFit="1" customWidth="1"/>
    <col min="29" max="29" width="24.109375" style="13" bestFit="1" customWidth="1"/>
    <col min="30" max="16384" width="9.109375" style="13"/>
  </cols>
  <sheetData>
    <row r="1" spans="1:29" s="14" customFormat="1" x14ac:dyDescent="0.3">
      <c r="A1" s="108" t="s">
        <v>391</v>
      </c>
      <c r="B1" s="87" t="s">
        <v>18</v>
      </c>
      <c r="C1" s="60" t="s">
        <v>185</v>
      </c>
      <c r="D1" s="88" t="s">
        <v>376</v>
      </c>
      <c r="E1" s="89" t="s">
        <v>19</v>
      </c>
      <c r="F1" s="88" t="s">
        <v>228</v>
      </c>
      <c r="G1" s="88" t="s">
        <v>243</v>
      </c>
      <c r="H1" s="90" t="s">
        <v>46</v>
      </c>
      <c r="I1" s="90" t="s">
        <v>84</v>
      </c>
      <c r="J1" s="90" t="s">
        <v>99</v>
      </c>
      <c r="K1" s="90" t="s">
        <v>140</v>
      </c>
      <c r="L1" s="91" t="s">
        <v>98</v>
      </c>
      <c r="M1" s="90" t="s">
        <v>100</v>
      </c>
      <c r="N1" s="52" t="s">
        <v>114</v>
      </c>
      <c r="O1" s="52" t="s">
        <v>115</v>
      </c>
      <c r="P1" s="52" t="s">
        <v>116</v>
      </c>
      <c r="Q1" s="52" t="s">
        <v>117</v>
      </c>
      <c r="R1" s="52" t="s">
        <v>118</v>
      </c>
      <c r="S1" s="52" t="s">
        <v>119</v>
      </c>
      <c r="T1" s="88" t="s">
        <v>229</v>
      </c>
      <c r="U1" s="1"/>
      <c r="V1" s="153"/>
      <c r="W1" s="153"/>
      <c r="X1" s="153"/>
      <c r="Y1" s="153"/>
      <c r="AA1" s="153"/>
      <c r="AB1" s="153"/>
      <c r="AC1" s="153"/>
    </row>
    <row r="2" spans="1:29" s="14" customFormat="1" x14ac:dyDescent="0.3">
      <c r="A2" s="110"/>
      <c r="B2" s="49"/>
      <c r="C2" s="50"/>
      <c r="D2" s="50"/>
      <c r="E2" s="50"/>
      <c r="F2" s="50"/>
      <c r="G2" s="50"/>
      <c r="H2" s="50"/>
      <c r="I2" s="46"/>
      <c r="J2" s="46"/>
      <c r="K2" s="46"/>
      <c r="L2" s="76"/>
      <c r="M2" s="66"/>
      <c r="N2" s="53"/>
      <c r="O2" s="53"/>
      <c r="P2" s="53"/>
      <c r="Q2" s="53"/>
      <c r="R2" s="53"/>
      <c r="S2" s="53"/>
      <c r="T2" s="65"/>
      <c r="U2" s="1"/>
      <c r="W2" s="61"/>
      <c r="X2" s="61"/>
      <c r="Y2" s="61"/>
      <c r="AB2" s="61"/>
      <c r="AC2" s="61"/>
    </row>
    <row r="3" spans="1:29" s="14" customFormat="1" x14ac:dyDescent="0.3">
      <c r="A3" s="49"/>
      <c r="B3" s="49"/>
      <c r="C3" s="50"/>
      <c r="D3" s="50"/>
      <c r="E3" s="50"/>
      <c r="F3" s="50"/>
      <c r="G3" s="50"/>
      <c r="H3" s="50"/>
      <c r="I3" s="46"/>
      <c r="J3" s="46"/>
      <c r="K3" s="46"/>
      <c r="L3" s="76"/>
      <c r="M3" s="59"/>
      <c r="N3" s="53"/>
      <c r="O3" s="53"/>
      <c r="P3" s="53"/>
      <c r="Q3" s="53"/>
      <c r="R3" s="53"/>
      <c r="S3" s="53"/>
      <c r="T3" s="65"/>
      <c r="U3" s="1"/>
      <c r="W3" s="61"/>
      <c r="X3" s="61"/>
      <c r="Y3" s="61"/>
    </row>
    <row r="4" spans="1:29" s="14" customFormat="1" x14ac:dyDescent="0.3">
      <c r="A4" s="17"/>
      <c r="B4" s="50"/>
      <c r="C4" s="50"/>
      <c r="D4" s="50"/>
      <c r="E4" s="50"/>
      <c r="F4" s="50"/>
      <c r="G4" s="50"/>
      <c r="H4" s="50"/>
      <c r="I4" s="46"/>
      <c r="J4" s="46"/>
      <c r="K4" s="46"/>
      <c r="L4" s="76"/>
      <c r="M4" s="66"/>
      <c r="N4" s="53"/>
      <c r="O4" s="53"/>
      <c r="P4" s="53"/>
      <c r="Q4" s="53"/>
      <c r="R4" s="53"/>
      <c r="S4" s="53"/>
      <c r="T4" s="65"/>
      <c r="U4" s="1"/>
    </row>
    <row r="5" spans="1:29" s="14" customFormat="1" x14ac:dyDescent="0.3">
      <c r="A5" s="50"/>
      <c r="B5" s="50"/>
      <c r="C5" s="50"/>
      <c r="D5" s="50"/>
      <c r="E5" s="50"/>
      <c r="F5" s="50"/>
      <c r="G5" s="50"/>
      <c r="H5" s="50"/>
      <c r="I5" s="46"/>
      <c r="J5" s="46"/>
      <c r="K5" s="46"/>
      <c r="L5" s="76"/>
      <c r="M5" s="66"/>
      <c r="N5" s="53"/>
      <c r="O5" s="53"/>
      <c r="P5" s="53"/>
      <c r="Q5" s="53"/>
      <c r="R5" s="53"/>
      <c r="S5" s="53"/>
      <c r="T5" s="65"/>
      <c r="U5" s="1"/>
    </row>
    <row r="6" spans="1:29" s="14" customFormat="1" x14ac:dyDescent="0.3">
      <c r="A6" s="111"/>
      <c r="B6" s="67"/>
      <c r="C6" s="50"/>
      <c r="D6" s="50"/>
      <c r="E6" s="50"/>
      <c r="F6" s="50"/>
      <c r="G6" s="50"/>
      <c r="H6" s="50"/>
      <c r="I6" s="46"/>
      <c r="J6" s="46"/>
      <c r="K6" s="46"/>
      <c r="L6" s="76"/>
      <c r="M6" s="66"/>
      <c r="N6" s="53"/>
      <c r="O6" s="53"/>
      <c r="P6" s="53"/>
      <c r="Q6" s="53"/>
      <c r="R6" s="53"/>
      <c r="S6" s="53"/>
      <c r="T6" s="65"/>
      <c r="U6" s="1"/>
      <c r="V6" s="153"/>
      <c r="W6" s="153"/>
      <c r="X6" s="153"/>
      <c r="Y6" s="153"/>
      <c r="AA6" s="153"/>
      <c r="AB6" s="153"/>
      <c r="AC6" s="153"/>
    </row>
    <row r="7" spans="1:29" s="14" customFormat="1" x14ac:dyDescent="0.3">
      <c r="A7" s="49"/>
      <c r="B7" s="49"/>
      <c r="C7" s="50"/>
      <c r="D7" s="50"/>
      <c r="E7" s="50"/>
      <c r="F7" s="50"/>
      <c r="G7" s="50"/>
      <c r="H7" s="43"/>
      <c r="I7" s="46"/>
      <c r="J7" s="46"/>
      <c r="K7" s="46"/>
      <c r="L7" s="76"/>
      <c r="M7" s="66"/>
      <c r="N7" s="53"/>
      <c r="O7" s="53"/>
      <c r="P7" s="53"/>
      <c r="Q7" s="53"/>
      <c r="R7" s="53"/>
      <c r="S7" s="53"/>
      <c r="T7" s="65"/>
      <c r="U7" s="1"/>
      <c r="V7" s="62"/>
      <c r="W7" s="62"/>
      <c r="X7" s="62"/>
      <c r="Y7" s="62"/>
      <c r="AA7" s="62"/>
      <c r="AB7" s="62"/>
      <c r="AC7" s="62"/>
    </row>
    <row r="8" spans="1:29" s="14" customFormat="1" x14ac:dyDescent="0.3">
      <c r="A8" s="110"/>
      <c r="B8" s="49"/>
      <c r="C8" s="50"/>
      <c r="D8" s="50"/>
      <c r="E8" s="50"/>
      <c r="F8" s="50"/>
      <c r="G8" s="50"/>
      <c r="H8" s="50"/>
      <c r="I8" s="46"/>
      <c r="J8" s="46"/>
      <c r="K8" s="46"/>
      <c r="L8" s="76"/>
      <c r="M8" s="66"/>
      <c r="N8" s="53"/>
      <c r="O8" s="53"/>
      <c r="P8" s="53"/>
      <c r="Q8" s="53"/>
      <c r="R8" s="53"/>
      <c r="S8" s="53"/>
      <c r="T8" s="65"/>
      <c r="U8" s="1"/>
      <c r="W8" s="61"/>
      <c r="X8" s="61"/>
      <c r="Y8" s="61"/>
    </row>
    <row r="9" spans="1:29" s="14" customFormat="1" x14ac:dyDescent="0.3">
      <c r="A9" s="49"/>
      <c r="B9" s="49"/>
      <c r="C9" s="50"/>
      <c r="D9" s="50"/>
      <c r="E9" s="50"/>
      <c r="F9" s="50"/>
      <c r="G9" s="50"/>
      <c r="H9" s="50"/>
      <c r="I9" s="46"/>
      <c r="J9" s="46"/>
      <c r="K9" s="46"/>
      <c r="L9" s="76"/>
      <c r="M9" s="66"/>
      <c r="N9" s="53"/>
      <c r="O9" s="53"/>
      <c r="P9" s="53"/>
      <c r="Q9" s="53"/>
      <c r="R9" s="53"/>
      <c r="S9" s="53"/>
      <c r="T9" s="65"/>
      <c r="U9" s="1"/>
    </row>
    <row r="10" spans="1:29" s="14" customFormat="1" x14ac:dyDescent="0.3">
      <c r="A10" s="110"/>
      <c r="B10" s="49"/>
      <c r="C10" s="50"/>
      <c r="D10" s="50"/>
      <c r="E10" s="50"/>
      <c r="F10" s="50"/>
      <c r="G10" s="50"/>
      <c r="H10" s="50"/>
      <c r="I10" s="46"/>
      <c r="J10" s="46"/>
      <c r="K10" s="46"/>
      <c r="L10" s="76"/>
      <c r="M10" s="66"/>
      <c r="N10" s="53"/>
      <c r="O10" s="53"/>
      <c r="P10" s="53"/>
      <c r="Q10" s="53"/>
      <c r="R10" s="53"/>
      <c r="S10" s="53"/>
      <c r="T10" s="65"/>
      <c r="U10" s="1"/>
    </row>
    <row r="11" spans="1:29" s="14" customFormat="1" x14ac:dyDescent="0.3">
      <c r="A11" s="49"/>
      <c r="B11" s="49"/>
      <c r="C11" s="50"/>
      <c r="D11" s="50"/>
      <c r="E11" s="50"/>
      <c r="F11" s="50"/>
      <c r="G11" s="50"/>
      <c r="H11" s="50"/>
      <c r="I11" s="46"/>
      <c r="J11" s="46"/>
      <c r="K11" s="46"/>
      <c r="L11" s="76"/>
      <c r="M11" s="66"/>
      <c r="N11" s="53"/>
      <c r="O11" s="53"/>
      <c r="P11" s="53"/>
      <c r="Q11" s="53"/>
      <c r="R11" s="53"/>
      <c r="S11" s="53"/>
      <c r="T11" s="65"/>
      <c r="U11" s="1"/>
      <c r="V11" s="153"/>
      <c r="W11" s="153"/>
      <c r="X11" s="153"/>
      <c r="Y11" s="153"/>
    </row>
    <row r="12" spans="1:29" s="14" customFormat="1" x14ac:dyDescent="0.3">
      <c r="A12" s="110"/>
      <c r="B12" s="49"/>
      <c r="C12" s="50"/>
      <c r="D12" s="50"/>
      <c r="E12" s="50"/>
      <c r="F12" s="50"/>
      <c r="G12" s="50"/>
      <c r="H12" s="50"/>
      <c r="I12" s="46"/>
      <c r="J12" s="46"/>
      <c r="K12" s="46"/>
      <c r="L12" s="76"/>
      <c r="M12" s="66"/>
      <c r="N12" s="53"/>
      <c r="O12" s="53"/>
      <c r="P12" s="53"/>
      <c r="Q12" s="53"/>
      <c r="R12" s="53"/>
      <c r="S12" s="53"/>
      <c r="T12" s="65"/>
      <c r="U12" s="1"/>
      <c r="V12" s="62"/>
      <c r="W12" s="62"/>
      <c r="X12" s="62"/>
      <c r="Y12" s="62"/>
    </row>
    <row r="13" spans="1:29" s="14" customFormat="1" x14ac:dyDescent="0.3">
      <c r="A13" s="49"/>
      <c r="B13" s="49"/>
      <c r="C13" s="50"/>
      <c r="D13" s="50"/>
      <c r="E13" s="50"/>
      <c r="F13" s="50"/>
      <c r="G13" s="50"/>
      <c r="H13" s="50"/>
      <c r="I13" s="46"/>
      <c r="J13" s="46"/>
      <c r="K13" s="46"/>
      <c r="L13" s="76"/>
      <c r="M13" s="66"/>
      <c r="N13" s="53"/>
      <c r="O13" s="53"/>
      <c r="P13" s="53"/>
      <c r="Q13" s="53"/>
      <c r="R13" s="53"/>
      <c r="S13" s="53"/>
      <c r="T13" s="65"/>
      <c r="U13" s="1"/>
      <c r="W13" s="61"/>
      <c r="X13" s="61"/>
      <c r="Y13" s="61"/>
    </row>
    <row r="14" spans="1:29" s="14" customFormat="1" x14ac:dyDescent="0.3">
      <c r="A14" s="110"/>
      <c r="B14" s="49"/>
      <c r="C14" s="50"/>
      <c r="D14" s="50"/>
      <c r="E14" s="50"/>
      <c r="F14" s="50"/>
      <c r="G14" s="50"/>
      <c r="H14" s="50"/>
      <c r="I14" s="46"/>
      <c r="J14" s="46"/>
      <c r="K14" s="46"/>
      <c r="L14" s="76"/>
      <c r="M14" s="66"/>
      <c r="N14" s="53"/>
      <c r="O14" s="53"/>
      <c r="P14" s="53"/>
      <c r="Q14" s="53"/>
      <c r="R14" s="53"/>
      <c r="S14" s="53"/>
      <c r="T14" s="65"/>
      <c r="U14" s="1"/>
      <c r="W14" s="61"/>
      <c r="X14" s="61"/>
      <c r="Y14" s="61"/>
    </row>
    <row r="15" spans="1:29" s="14" customFormat="1" x14ac:dyDescent="0.3">
      <c r="A15" s="67"/>
      <c r="B15" s="67"/>
      <c r="C15" s="50"/>
      <c r="D15" s="50"/>
      <c r="E15" s="50"/>
      <c r="F15" s="50"/>
      <c r="G15" s="50"/>
      <c r="H15" s="50"/>
      <c r="I15" s="46"/>
      <c r="J15" s="46"/>
      <c r="K15" s="46"/>
      <c r="L15" s="76"/>
      <c r="M15" s="66"/>
      <c r="N15" s="53"/>
      <c r="O15" s="53"/>
      <c r="P15" s="53"/>
      <c r="Q15" s="53"/>
      <c r="R15" s="53"/>
      <c r="S15" s="53"/>
      <c r="T15" s="65"/>
      <c r="U15" s="1"/>
    </row>
    <row r="16" spans="1:29" s="14" customFormat="1" x14ac:dyDescent="0.3">
      <c r="A16" s="110"/>
      <c r="B16" s="49"/>
      <c r="C16" s="50"/>
      <c r="D16" s="50"/>
      <c r="E16" s="50"/>
      <c r="F16" s="50"/>
      <c r="G16" s="50"/>
      <c r="H16" s="50"/>
      <c r="I16" s="46"/>
      <c r="J16" s="46"/>
      <c r="K16" s="46"/>
      <c r="L16" s="76"/>
      <c r="M16" s="66"/>
      <c r="N16" s="53"/>
      <c r="O16" s="53"/>
      <c r="P16" s="53"/>
      <c r="Q16" s="53"/>
      <c r="R16" s="53"/>
      <c r="S16" s="53"/>
      <c r="T16" s="65"/>
      <c r="U16" s="1"/>
    </row>
    <row r="17" spans="1:27" s="14" customFormat="1" x14ac:dyDescent="0.3">
      <c r="A17" s="49"/>
      <c r="B17" s="49"/>
      <c r="C17" s="50"/>
      <c r="D17" s="50"/>
      <c r="E17" s="43"/>
      <c r="F17" s="50"/>
      <c r="G17" s="50"/>
      <c r="H17" s="50"/>
      <c r="I17" s="46"/>
      <c r="J17" s="46"/>
      <c r="K17" s="46"/>
      <c r="L17" s="76"/>
      <c r="M17" s="66"/>
      <c r="N17" s="53"/>
      <c r="O17" s="53"/>
      <c r="P17" s="53"/>
      <c r="Q17" s="53"/>
      <c r="R17" s="53"/>
      <c r="S17" s="53"/>
      <c r="T17" s="65"/>
      <c r="U17" s="1"/>
      <c r="V17" s="153"/>
      <c r="W17" s="153"/>
      <c r="X17" s="153"/>
      <c r="Y17" s="153"/>
      <c r="Z17" s="153"/>
      <c r="AA17" s="153"/>
    </row>
    <row r="18" spans="1:27" s="14" customFormat="1" x14ac:dyDescent="0.3">
      <c r="A18" s="110"/>
      <c r="B18" s="49"/>
      <c r="C18" s="50"/>
      <c r="D18" s="50"/>
      <c r="E18" s="50"/>
      <c r="F18" s="50"/>
      <c r="G18" s="50"/>
      <c r="H18" s="50"/>
      <c r="I18" s="46"/>
      <c r="J18" s="46"/>
      <c r="K18" s="46"/>
      <c r="L18" s="76"/>
      <c r="M18" s="66"/>
      <c r="N18" s="53"/>
      <c r="O18" s="53"/>
      <c r="P18" s="53"/>
      <c r="Q18" s="53"/>
      <c r="R18" s="53"/>
      <c r="S18" s="53"/>
      <c r="T18" s="65"/>
      <c r="U18" s="1"/>
      <c r="V18" s="62"/>
      <c r="W18" s="62"/>
      <c r="X18" s="62"/>
      <c r="Y18" s="62"/>
      <c r="Z18" s="62"/>
      <c r="AA18" s="62"/>
    </row>
    <row r="19" spans="1:27" s="14" customFormat="1" x14ac:dyDescent="0.3">
      <c r="A19" s="49"/>
      <c r="B19" s="49"/>
      <c r="C19" s="50"/>
      <c r="D19" s="50"/>
      <c r="E19" s="50"/>
      <c r="F19" s="50"/>
      <c r="G19" s="50"/>
      <c r="H19" s="50"/>
      <c r="I19" s="46"/>
      <c r="J19" s="46"/>
      <c r="K19" s="46"/>
      <c r="L19" s="76"/>
      <c r="M19" s="66"/>
      <c r="N19" s="53"/>
      <c r="O19" s="53"/>
      <c r="P19" s="53"/>
      <c r="Q19" s="53"/>
      <c r="R19" s="53"/>
      <c r="S19" s="53"/>
      <c r="T19" s="65"/>
      <c r="U19" s="1"/>
      <c r="W19" s="61"/>
      <c r="X19" s="154"/>
      <c r="Y19" s="155"/>
      <c r="Z19" s="154"/>
      <c r="AA19" s="155"/>
    </row>
    <row r="20" spans="1:27" s="14" customFormat="1" x14ac:dyDescent="0.3">
      <c r="A20" s="110"/>
      <c r="B20" s="49"/>
      <c r="C20" s="50"/>
      <c r="D20" s="50"/>
      <c r="E20" s="50"/>
      <c r="F20" s="50"/>
      <c r="G20" s="50"/>
      <c r="H20" s="50"/>
      <c r="I20" s="46"/>
      <c r="J20" s="46"/>
      <c r="K20" s="46"/>
      <c r="L20" s="76"/>
      <c r="M20" s="66"/>
      <c r="N20" s="53"/>
      <c r="O20" s="53"/>
      <c r="P20" s="53"/>
      <c r="Q20" s="53"/>
      <c r="R20" s="53"/>
      <c r="S20" s="53"/>
      <c r="T20" s="65"/>
      <c r="U20" s="1"/>
      <c r="W20" s="61"/>
      <c r="X20" s="154"/>
      <c r="Y20" s="155"/>
      <c r="Z20" s="154"/>
      <c r="AA20" s="155"/>
    </row>
    <row r="21" spans="1:27" s="14" customFormat="1" x14ac:dyDescent="0.3">
      <c r="A21" s="49"/>
      <c r="B21" s="49"/>
      <c r="C21" s="50"/>
      <c r="D21" s="50"/>
      <c r="E21" s="50"/>
      <c r="F21" s="50"/>
      <c r="G21" s="50"/>
      <c r="H21" s="50"/>
      <c r="I21" s="46"/>
      <c r="J21" s="46"/>
      <c r="K21" s="46"/>
      <c r="L21" s="76"/>
      <c r="M21" s="66"/>
      <c r="N21" s="53"/>
      <c r="O21" s="53"/>
      <c r="P21" s="53"/>
      <c r="Q21" s="53"/>
      <c r="R21" s="53"/>
      <c r="S21" s="53"/>
      <c r="T21" s="65"/>
      <c r="U21" s="1"/>
      <c r="W21" s="61"/>
      <c r="X21" s="154"/>
      <c r="Y21" s="155"/>
      <c r="Z21" s="154"/>
      <c r="AA21" s="155"/>
    </row>
    <row r="22" spans="1:27" s="14" customFormat="1" x14ac:dyDescent="0.3">
      <c r="A22" s="110"/>
      <c r="B22" s="49"/>
      <c r="C22" s="50"/>
      <c r="D22" s="50"/>
      <c r="E22" s="50"/>
      <c r="F22" s="50"/>
      <c r="G22" s="50"/>
      <c r="H22" s="50"/>
      <c r="I22" s="46"/>
      <c r="J22" s="46"/>
      <c r="K22" s="46"/>
      <c r="L22" s="76"/>
      <c r="M22" s="66"/>
      <c r="N22" s="53"/>
      <c r="O22" s="53"/>
      <c r="P22" s="53"/>
      <c r="Q22" s="53"/>
      <c r="R22" s="53"/>
      <c r="S22" s="53"/>
      <c r="T22" s="65"/>
      <c r="U22" s="1"/>
      <c r="W22" s="61"/>
      <c r="X22" s="154"/>
      <c r="Y22" s="155"/>
      <c r="Z22" s="154"/>
      <c r="AA22" s="155"/>
    </row>
    <row r="23" spans="1:27" s="14" customFormat="1" x14ac:dyDescent="0.3">
      <c r="A23" s="49"/>
      <c r="B23" s="49"/>
      <c r="C23" s="50"/>
      <c r="D23" s="50"/>
      <c r="E23" s="50"/>
      <c r="F23" s="50"/>
      <c r="G23" s="50"/>
      <c r="H23" s="50"/>
      <c r="I23" s="46"/>
      <c r="J23" s="46"/>
      <c r="K23" s="46"/>
      <c r="L23" s="76"/>
      <c r="M23" s="66"/>
      <c r="N23" s="53"/>
      <c r="O23" s="53"/>
      <c r="P23" s="53"/>
      <c r="Q23" s="53"/>
      <c r="R23" s="53"/>
      <c r="S23" s="53"/>
      <c r="T23" s="65"/>
      <c r="U23" s="1"/>
      <c r="V23" s="61"/>
      <c r="W23" s="61"/>
      <c r="X23" s="154"/>
      <c r="Y23" s="155"/>
      <c r="Z23" s="154"/>
      <c r="AA23" s="155"/>
    </row>
    <row r="24" spans="1:27" s="14" customFormat="1" x14ac:dyDescent="0.3">
      <c r="A24" s="110"/>
      <c r="B24" s="49"/>
      <c r="C24" s="50"/>
      <c r="D24" s="50"/>
      <c r="E24" s="50"/>
      <c r="F24" s="50"/>
      <c r="G24" s="50"/>
      <c r="H24" s="50"/>
      <c r="I24" s="46"/>
      <c r="J24" s="46"/>
      <c r="K24" s="46"/>
      <c r="L24" s="76"/>
      <c r="M24" s="66"/>
      <c r="N24" s="53"/>
      <c r="O24" s="53"/>
      <c r="P24" s="53"/>
      <c r="Q24" s="53"/>
      <c r="R24" s="53"/>
      <c r="S24" s="53"/>
      <c r="T24" s="65"/>
      <c r="U24" s="1"/>
      <c r="V24" s="60"/>
      <c r="W24" s="36"/>
      <c r="X24" s="60"/>
      <c r="Y24" s="36"/>
      <c r="Z24" s="60"/>
      <c r="AA24" s="36"/>
    </row>
    <row r="25" spans="1:27" s="14" customFormat="1" x14ac:dyDescent="0.3">
      <c r="A25" s="49"/>
      <c r="B25" s="49"/>
      <c r="C25" s="50"/>
      <c r="D25" s="50"/>
      <c r="E25" s="43"/>
      <c r="F25" s="50"/>
      <c r="G25" s="50"/>
      <c r="H25" s="50"/>
      <c r="I25" s="46"/>
      <c r="J25" s="46"/>
      <c r="K25" s="46"/>
      <c r="L25" s="76"/>
      <c r="M25" s="66"/>
      <c r="N25" s="53"/>
      <c r="O25" s="53"/>
      <c r="P25" s="53"/>
      <c r="Q25" s="53"/>
      <c r="R25" s="53"/>
      <c r="S25" s="53"/>
      <c r="T25" s="65"/>
      <c r="U25" s="1"/>
      <c r="V25" s="153"/>
      <c r="W25" s="153"/>
      <c r="X25" s="156"/>
      <c r="Y25" s="156"/>
      <c r="Z25" s="156"/>
      <c r="AA25" s="156"/>
    </row>
    <row r="26" spans="1:27" s="14" customFormat="1" x14ac:dyDescent="0.3">
      <c r="A26" s="110"/>
      <c r="B26" s="49"/>
      <c r="C26" s="50"/>
      <c r="D26" s="50"/>
      <c r="E26" s="50"/>
      <c r="F26" s="50"/>
      <c r="G26" s="50"/>
      <c r="H26" s="50"/>
      <c r="I26" s="46"/>
      <c r="J26" s="46"/>
      <c r="K26" s="46"/>
      <c r="L26" s="76"/>
      <c r="M26" s="66"/>
      <c r="N26" s="53"/>
      <c r="O26" s="53"/>
      <c r="P26" s="53"/>
      <c r="Q26" s="53"/>
      <c r="R26" s="53"/>
      <c r="S26" s="53"/>
      <c r="T26" s="65"/>
      <c r="U26" s="1"/>
      <c r="V26" s="60"/>
      <c r="W26" s="60"/>
      <c r="X26" s="36"/>
      <c r="Y26" s="36"/>
      <c r="Z26" s="36"/>
      <c r="AA26" s="36"/>
    </row>
    <row r="27" spans="1:27" s="14" customFormat="1" x14ac:dyDescent="0.3">
      <c r="A27" s="49"/>
      <c r="B27" s="49"/>
      <c r="C27" s="50"/>
      <c r="D27" s="50"/>
      <c r="E27" s="50"/>
      <c r="F27" s="50"/>
      <c r="G27" s="50"/>
      <c r="H27" s="50"/>
      <c r="I27" s="46"/>
      <c r="J27" s="46"/>
      <c r="K27" s="46"/>
      <c r="L27" s="76"/>
      <c r="M27" s="66"/>
      <c r="N27" s="53"/>
      <c r="O27" s="53"/>
      <c r="P27" s="53"/>
      <c r="Q27" s="53"/>
      <c r="R27" s="53"/>
      <c r="S27" s="53"/>
      <c r="T27" s="65"/>
      <c r="U27" s="1"/>
    </row>
    <row r="28" spans="1:27" s="14" customFormat="1" x14ac:dyDescent="0.3">
      <c r="A28" s="110"/>
      <c r="B28" s="49"/>
      <c r="C28" s="50"/>
      <c r="D28" s="50"/>
      <c r="E28" s="50"/>
      <c r="F28" s="50"/>
      <c r="G28" s="50"/>
      <c r="H28" s="50"/>
      <c r="I28" s="46"/>
      <c r="J28" s="46"/>
      <c r="K28" s="46"/>
      <c r="L28" s="76"/>
      <c r="M28" s="66"/>
      <c r="N28" s="53"/>
      <c r="O28" s="53"/>
      <c r="P28" s="53"/>
      <c r="Q28" s="53"/>
      <c r="R28" s="53"/>
      <c r="S28" s="53"/>
      <c r="T28" s="65"/>
      <c r="U28" s="1"/>
      <c r="V28" s="153"/>
      <c r="W28" s="153"/>
      <c r="X28" s="153"/>
      <c r="Y28" s="153"/>
      <c r="Z28" s="153"/>
      <c r="AA28" s="153"/>
    </row>
    <row r="29" spans="1:27" s="14" customFormat="1" x14ac:dyDescent="0.3">
      <c r="A29" s="49"/>
      <c r="B29" s="49"/>
      <c r="C29" s="50"/>
      <c r="D29" s="50"/>
      <c r="E29" s="50"/>
      <c r="F29" s="50"/>
      <c r="G29" s="50"/>
      <c r="H29" s="50"/>
      <c r="I29" s="46"/>
      <c r="J29" s="46"/>
      <c r="K29" s="46"/>
      <c r="L29" s="76"/>
      <c r="M29" s="66"/>
      <c r="N29" s="53"/>
      <c r="O29" s="53"/>
      <c r="P29" s="53"/>
      <c r="Q29" s="53"/>
      <c r="R29" s="53"/>
      <c r="S29" s="53"/>
      <c r="T29" s="65"/>
      <c r="U29" s="1"/>
      <c r="V29" s="153"/>
      <c r="W29" s="153"/>
      <c r="X29" s="153"/>
      <c r="Y29" s="153"/>
      <c r="Z29" s="153"/>
      <c r="AA29" s="153"/>
    </row>
    <row r="30" spans="1:27" s="14" customFormat="1" x14ac:dyDescent="0.3">
      <c r="A30" s="110"/>
      <c r="B30" s="49"/>
      <c r="C30" s="50"/>
      <c r="D30" s="50"/>
      <c r="E30" s="50"/>
      <c r="F30" s="50"/>
      <c r="G30" s="50"/>
      <c r="H30" s="50"/>
      <c r="I30" s="46"/>
      <c r="J30" s="46"/>
      <c r="K30" s="46"/>
      <c r="L30" s="76"/>
      <c r="M30" s="66"/>
      <c r="N30" s="53"/>
      <c r="O30" s="53"/>
      <c r="P30" s="53"/>
      <c r="Q30" s="53"/>
      <c r="R30" s="53"/>
      <c r="S30" s="53"/>
      <c r="T30" s="65"/>
      <c r="U30" s="1"/>
      <c r="V30" s="62"/>
      <c r="W30" s="62"/>
      <c r="X30" s="62"/>
      <c r="Y30" s="62"/>
      <c r="Z30" s="62"/>
      <c r="AA30" s="62"/>
    </row>
    <row r="31" spans="1:27" s="14" customFormat="1" x14ac:dyDescent="0.3">
      <c r="A31" s="49"/>
      <c r="B31" s="49"/>
      <c r="C31" s="50"/>
      <c r="D31" s="50"/>
      <c r="E31" s="50"/>
      <c r="F31" s="50"/>
      <c r="G31" s="50"/>
      <c r="H31" s="50"/>
      <c r="I31" s="46"/>
      <c r="J31" s="46"/>
      <c r="K31" s="46"/>
      <c r="L31" s="76"/>
      <c r="M31" s="66"/>
      <c r="N31" s="53"/>
      <c r="O31" s="53"/>
      <c r="P31" s="53"/>
      <c r="Q31" s="53"/>
      <c r="R31" s="53"/>
      <c r="S31" s="53"/>
      <c r="T31" s="65"/>
      <c r="U31" s="1"/>
      <c r="W31" s="61"/>
      <c r="Y31" s="61"/>
      <c r="AA31" s="61"/>
    </row>
    <row r="32" spans="1:27" s="14" customFormat="1" x14ac:dyDescent="0.3">
      <c r="A32" s="110"/>
      <c r="B32" s="49"/>
      <c r="C32" s="50"/>
      <c r="D32" s="50"/>
      <c r="E32" s="50"/>
      <c r="F32" s="50"/>
      <c r="G32" s="50"/>
      <c r="H32" s="50"/>
      <c r="I32" s="46"/>
      <c r="J32" s="46"/>
      <c r="K32" s="46"/>
      <c r="L32" s="76"/>
      <c r="M32" s="66"/>
      <c r="N32" s="53"/>
      <c r="O32" s="53"/>
      <c r="P32" s="53"/>
      <c r="Q32" s="53"/>
      <c r="R32" s="53"/>
      <c r="S32" s="53"/>
      <c r="T32" s="65"/>
      <c r="U32" s="1"/>
      <c r="W32" s="61"/>
      <c r="Y32" s="61"/>
      <c r="AA32" s="61"/>
    </row>
    <row r="33" spans="1:27" s="14" customFormat="1" x14ac:dyDescent="0.3">
      <c r="A33" s="49"/>
      <c r="B33" s="49"/>
      <c r="C33" s="50"/>
      <c r="D33" s="50"/>
      <c r="E33" s="50"/>
      <c r="F33" s="50"/>
      <c r="G33" s="50"/>
      <c r="H33" s="50"/>
      <c r="I33" s="46"/>
      <c r="J33" s="46"/>
      <c r="K33" s="46"/>
      <c r="L33" s="76"/>
      <c r="M33" s="66"/>
      <c r="N33" s="53"/>
      <c r="O33" s="53"/>
      <c r="P33" s="53"/>
      <c r="Q33" s="53"/>
      <c r="R33" s="53"/>
      <c r="S33" s="53"/>
      <c r="T33" s="65"/>
      <c r="U33" s="1"/>
      <c r="V33" s="60"/>
      <c r="W33" s="36"/>
      <c r="X33" s="60"/>
      <c r="Y33" s="36"/>
      <c r="Z33" s="60"/>
      <c r="AA33" s="36"/>
    </row>
    <row r="34" spans="1:27" s="14" customFormat="1" x14ac:dyDescent="0.3">
      <c r="A34" s="110"/>
      <c r="B34" s="49"/>
      <c r="C34" s="49"/>
      <c r="D34" s="50"/>
      <c r="E34" s="50"/>
      <c r="F34" s="50"/>
      <c r="G34" s="50"/>
      <c r="H34" s="50"/>
      <c r="I34" s="46"/>
      <c r="J34" s="46"/>
      <c r="K34" s="46"/>
      <c r="L34" s="76"/>
      <c r="M34" s="66"/>
      <c r="N34" s="53"/>
      <c r="O34" s="53"/>
      <c r="P34" s="53"/>
      <c r="Q34" s="53"/>
      <c r="R34" s="53"/>
      <c r="S34" s="53"/>
      <c r="T34" s="65"/>
      <c r="U34" s="1"/>
      <c r="V34" s="153"/>
      <c r="W34" s="153"/>
      <c r="X34" s="156"/>
      <c r="Y34" s="156"/>
      <c r="Z34" s="156"/>
      <c r="AA34" s="156"/>
    </row>
    <row r="35" spans="1:27" s="14" customFormat="1" x14ac:dyDescent="0.3">
      <c r="A35" s="49"/>
      <c r="B35" s="49"/>
      <c r="C35" s="49"/>
      <c r="D35" s="50"/>
      <c r="E35" s="50"/>
      <c r="F35" s="50"/>
      <c r="G35" s="50"/>
      <c r="H35" s="50"/>
      <c r="I35" s="46"/>
      <c r="J35" s="5"/>
      <c r="K35" s="46"/>
      <c r="L35" s="76"/>
      <c r="M35" s="66"/>
      <c r="N35" s="53"/>
      <c r="O35" s="53"/>
      <c r="P35" s="53"/>
      <c r="Q35" s="53"/>
      <c r="R35" s="53"/>
      <c r="S35" s="53"/>
      <c r="T35" s="65"/>
      <c r="U35" s="1"/>
    </row>
    <row r="36" spans="1:27" s="14" customFormat="1" x14ac:dyDescent="0.3">
      <c r="A36" s="110"/>
      <c r="B36" s="49"/>
      <c r="C36" s="50"/>
      <c r="D36" s="50"/>
      <c r="E36" s="50"/>
      <c r="F36" s="50"/>
      <c r="G36" s="50"/>
      <c r="H36" s="50"/>
      <c r="I36" s="46"/>
      <c r="J36" s="46"/>
      <c r="K36" s="46"/>
      <c r="L36" s="76"/>
      <c r="M36" s="66"/>
      <c r="N36" s="53"/>
      <c r="O36" s="53"/>
      <c r="P36" s="53"/>
      <c r="Q36" s="53"/>
      <c r="R36" s="53"/>
      <c r="S36" s="53"/>
      <c r="T36" s="65"/>
      <c r="U36" s="1"/>
    </row>
    <row r="37" spans="1:27" s="14" customFormat="1" x14ac:dyDescent="0.3">
      <c r="A37" s="49"/>
      <c r="B37" s="49"/>
      <c r="C37" s="50"/>
      <c r="D37" s="50"/>
      <c r="E37" s="50"/>
      <c r="F37" s="50"/>
      <c r="G37" s="50"/>
      <c r="H37" s="50"/>
      <c r="I37" s="46"/>
      <c r="J37" s="46"/>
      <c r="K37" s="46"/>
      <c r="L37" s="76"/>
      <c r="M37" s="66"/>
      <c r="N37" s="53"/>
      <c r="O37" s="53"/>
      <c r="P37" s="53"/>
      <c r="Q37" s="53"/>
      <c r="R37" s="53"/>
      <c r="S37" s="53"/>
      <c r="T37" s="65"/>
      <c r="U37" s="1"/>
    </row>
    <row r="38" spans="1:27" s="14" customFormat="1" x14ac:dyDescent="0.3">
      <c r="A38" s="111"/>
      <c r="B38" s="67"/>
      <c r="C38" s="50"/>
      <c r="D38" s="50"/>
      <c r="E38" s="50"/>
      <c r="F38" s="50"/>
      <c r="G38" s="50"/>
      <c r="H38" s="50"/>
      <c r="I38" s="46"/>
      <c r="J38" s="46"/>
      <c r="K38" s="46"/>
      <c r="L38" s="76"/>
      <c r="M38" s="64"/>
      <c r="N38" s="53"/>
      <c r="O38" s="53"/>
      <c r="P38" s="53"/>
      <c r="Q38" s="53"/>
      <c r="R38" s="53"/>
      <c r="S38" s="53"/>
      <c r="T38" s="65"/>
      <c r="U38" s="1"/>
    </row>
    <row r="39" spans="1:27" s="14" customFormat="1" x14ac:dyDescent="0.3">
      <c r="A39" s="49"/>
      <c r="B39" s="49"/>
      <c r="C39" s="49"/>
      <c r="D39" s="50"/>
      <c r="E39" s="50"/>
      <c r="F39" s="50"/>
      <c r="G39" s="50"/>
      <c r="H39" s="50"/>
      <c r="I39" s="46"/>
      <c r="J39" s="46"/>
      <c r="K39" s="46"/>
      <c r="L39" s="76"/>
      <c r="M39" s="64"/>
      <c r="N39" s="53"/>
      <c r="O39" s="53"/>
      <c r="P39" s="53"/>
      <c r="Q39" s="53"/>
      <c r="R39" s="53"/>
      <c r="S39" s="53"/>
      <c r="T39" s="65"/>
      <c r="U39" s="1"/>
    </row>
    <row r="40" spans="1:27" s="14" customFormat="1" x14ac:dyDescent="0.3">
      <c r="A40" s="110"/>
      <c r="B40" s="49"/>
      <c r="C40" s="49"/>
      <c r="D40" s="50"/>
      <c r="E40" s="50"/>
      <c r="F40" s="50"/>
      <c r="G40" s="50"/>
      <c r="H40" s="50"/>
      <c r="I40" s="46"/>
      <c r="J40" s="46"/>
      <c r="K40" s="46"/>
      <c r="L40" s="76"/>
      <c r="M40" s="66"/>
      <c r="N40" s="53"/>
      <c r="O40" s="53"/>
      <c r="P40" s="53"/>
      <c r="Q40" s="53"/>
      <c r="R40" s="53"/>
      <c r="S40" s="53"/>
      <c r="T40" s="65"/>
      <c r="U40" s="1"/>
    </row>
    <row r="41" spans="1:27" s="14" customFormat="1" x14ac:dyDescent="0.3">
      <c r="A41" s="49"/>
      <c r="B41" s="49"/>
      <c r="C41" s="49"/>
      <c r="D41" s="50"/>
      <c r="E41" s="43"/>
      <c r="F41" s="50"/>
      <c r="G41" s="50"/>
      <c r="H41" s="50"/>
      <c r="I41" s="46"/>
      <c r="J41" s="46"/>
      <c r="K41" s="46"/>
      <c r="L41" s="76"/>
      <c r="M41" s="66"/>
      <c r="N41" s="53"/>
      <c r="O41" s="53"/>
      <c r="P41" s="53"/>
      <c r="Q41" s="53"/>
      <c r="R41" s="53"/>
      <c r="S41" s="53"/>
      <c r="T41" s="65"/>
      <c r="U41" s="1"/>
    </row>
    <row r="42" spans="1:27" s="14" customFormat="1" x14ac:dyDescent="0.3">
      <c r="A42" s="110"/>
      <c r="B42" s="49"/>
      <c r="C42" s="49"/>
      <c r="D42" s="50"/>
      <c r="E42" s="50"/>
      <c r="F42" s="50"/>
      <c r="G42" s="50"/>
      <c r="H42" s="50"/>
      <c r="I42" s="46"/>
      <c r="J42" s="46"/>
      <c r="K42" s="46"/>
      <c r="L42" s="76"/>
      <c r="M42" s="66"/>
      <c r="N42" s="53"/>
      <c r="O42" s="53"/>
      <c r="P42" s="53"/>
      <c r="Q42" s="53"/>
      <c r="R42" s="53"/>
      <c r="S42" s="53"/>
      <c r="T42" s="65"/>
      <c r="U42" s="1"/>
    </row>
    <row r="43" spans="1:27" s="14" customFormat="1" x14ac:dyDescent="0.3">
      <c r="A43" s="49"/>
      <c r="B43" s="49"/>
      <c r="C43" s="50"/>
      <c r="D43" s="50"/>
      <c r="E43" s="50"/>
      <c r="F43" s="50"/>
      <c r="G43" s="50"/>
      <c r="H43" s="50"/>
      <c r="I43" s="46"/>
      <c r="J43" s="46"/>
      <c r="K43" s="46"/>
      <c r="L43" s="76"/>
      <c r="M43" s="66"/>
      <c r="N43" s="53"/>
      <c r="O43" s="53"/>
      <c r="P43" s="53"/>
      <c r="Q43" s="53"/>
      <c r="R43" s="53"/>
      <c r="S43" s="53"/>
      <c r="T43" s="65"/>
      <c r="U43" s="1"/>
    </row>
    <row r="44" spans="1:27" s="14" customFormat="1" x14ac:dyDescent="0.3">
      <c r="A44" s="110"/>
      <c r="B44" s="49"/>
      <c r="C44" s="49"/>
      <c r="D44" s="50"/>
      <c r="E44" s="50"/>
      <c r="F44" s="50"/>
      <c r="G44" s="50"/>
      <c r="H44" s="50"/>
      <c r="I44" s="46"/>
      <c r="J44" s="46"/>
      <c r="K44" s="46"/>
      <c r="L44" s="76"/>
      <c r="M44" s="66"/>
      <c r="N44" s="53"/>
      <c r="O44" s="53"/>
      <c r="P44" s="53"/>
      <c r="Q44" s="53"/>
      <c r="R44" s="53"/>
      <c r="S44" s="53"/>
      <c r="T44" s="65"/>
      <c r="U44" s="1"/>
    </row>
    <row r="45" spans="1:27" s="14" customFormat="1" x14ac:dyDescent="0.3">
      <c r="A45" s="49"/>
      <c r="B45" s="49"/>
      <c r="C45" s="49"/>
      <c r="D45" s="50"/>
      <c r="E45" s="50"/>
      <c r="F45" s="50"/>
      <c r="G45" s="50"/>
      <c r="H45" s="50"/>
      <c r="I45" s="46"/>
      <c r="J45" s="46"/>
      <c r="K45" s="46"/>
      <c r="L45" s="76"/>
      <c r="M45" s="66"/>
      <c r="N45" s="53"/>
      <c r="O45" s="53"/>
      <c r="P45" s="53"/>
      <c r="Q45" s="53"/>
      <c r="R45" s="53"/>
      <c r="S45" s="53"/>
      <c r="T45" s="65"/>
      <c r="U45" s="1"/>
    </row>
    <row r="46" spans="1:27" s="14" customFormat="1" x14ac:dyDescent="0.3">
      <c r="A46" s="110"/>
      <c r="B46" s="49"/>
      <c r="C46" s="49"/>
      <c r="D46" s="50"/>
      <c r="E46" s="50"/>
      <c r="F46" s="50"/>
      <c r="G46" s="50"/>
      <c r="H46" s="50"/>
      <c r="I46" s="46"/>
      <c r="J46" s="46"/>
      <c r="K46" s="46"/>
      <c r="L46" s="76"/>
      <c r="M46" s="66"/>
      <c r="N46" s="53"/>
      <c r="O46" s="53"/>
      <c r="P46" s="53"/>
      <c r="Q46" s="53"/>
      <c r="R46" s="53"/>
      <c r="S46" s="53"/>
      <c r="T46" s="65"/>
      <c r="U46" s="1"/>
    </row>
    <row r="47" spans="1:27" s="14" customFormat="1" x14ac:dyDescent="0.3">
      <c r="A47" s="49"/>
      <c r="B47" s="49"/>
      <c r="C47" s="49"/>
      <c r="D47" s="50"/>
      <c r="E47" s="50"/>
      <c r="F47" s="50"/>
      <c r="G47" s="50"/>
      <c r="H47" s="50"/>
      <c r="I47" s="46"/>
      <c r="J47" s="46"/>
      <c r="K47" s="46"/>
      <c r="L47" s="76"/>
      <c r="M47" s="66"/>
      <c r="N47" s="53"/>
      <c r="O47" s="53"/>
      <c r="P47" s="53"/>
      <c r="Q47" s="53"/>
      <c r="R47" s="53"/>
      <c r="S47" s="53"/>
      <c r="T47" s="65"/>
      <c r="U47" s="1"/>
    </row>
    <row r="48" spans="1:27" s="14" customFormat="1" x14ac:dyDescent="0.3">
      <c r="A48" s="110"/>
      <c r="B48" s="49"/>
      <c r="C48" s="49"/>
      <c r="D48" s="50"/>
      <c r="E48" s="50"/>
      <c r="F48" s="50"/>
      <c r="G48" s="50"/>
      <c r="H48" s="50"/>
      <c r="I48" s="46"/>
      <c r="J48" s="46"/>
      <c r="K48" s="46"/>
      <c r="L48" s="76"/>
      <c r="M48" s="66"/>
      <c r="N48" s="53"/>
      <c r="O48" s="53"/>
      <c r="P48" s="53"/>
      <c r="Q48" s="53"/>
      <c r="R48" s="53"/>
      <c r="S48" s="53"/>
      <c r="T48" s="65"/>
      <c r="U48" s="1"/>
    </row>
    <row r="49" spans="1:16384" s="14" customFormat="1" x14ac:dyDescent="0.3">
      <c r="A49" s="49"/>
      <c r="B49" s="49"/>
      <c r="C49" s="50"/>
      <c r="D49" s="50"/>
      <c r="E49" s="50"/>
      <c r="F49" s="50"/>
      <c r="G49" s="50"/>
      <c r="H49" s="50"/>
      <c r="I49" s="46"/>
      <c r="J49" s="46"/>
      <c r="K49" s="46"/>
      <c r="L49" s="76"/>
      <c r="M49" s="66"/>
      <c r="N49" s="53"/>
      <c r="O49" s="53"/>
      <c r="P49" s="53"/>
      <c r="Q49" s="53"/>
      <c r="R49" s="53"/>
      <c r="S49" s="53"/>
      <c r="T49" s="65"/>
      <c r="U49" s="1"/>
    </row>
    <row r="50" spans="1:16384" s="14" customFormat="1" x14ac:dyDescent="0.3">
      <c r="A50" s="110"/>
      <c r="B50" s="49"/>
      <c r="C50" s="49"/>
      <c r="D50" s="50"/>
      <c r="E50" s="50"/>
      <c r="F50" s="50"/>
      <c r="G50" s="50"/>
      <c r="H50" s="50"/>
      <c r="I50" s="46"/>
      <c r="J50" s="46"/>
      <c r="K50" s="46"/>
      <c r="L50" s="76"/>
      <c r="M50" s="66"/>
      <c r="N50" s="53"/>
      <c r="O50" s="53"/>
      <c r="P50" s="53"/>
      <c r="Q50" s="53"/>
      <c r="R50" s="53"/>
      <c r="S50" s="53"/>
      <c r="T50" s="65"/>
      <c r="U50" s="1"/>
    </row>
    <row r="51" spans="1:16384" s="14" customFormat="1" x14ac:dyDescent="0.3">
      <c r="A51" s="67"/>
      <c r="B51" s="67"/>
      <c r="C51" s="33"/>
      <c r="D51" s="50"/>
      <c r="E51" s="50"/>
      <c r="F51" s="50"/>
      <c r="G51" s="50"/>
      <c r="H51" s="50"/>
      <c r="I51" s="46"/>
      <c r="J51" s="46"/>
      <c r="K51" s="46"/>
      <c r="L51" s="76"/>
      <c r="M51" s="66"/>
      <c r="N51" s="53"/>
      <c r="O51" s="53"/>
      <c r="P51" s="53"/>
      <c r="Q51" s="53"/>
      <c r="R51" s="53"/>
      <c r="S51" s="53"/>
      <c r="T51" s="65"/>
      <c r="U51" s="1"/>
    </row>
    <row r="52" spans="1:16384" s="14" customFormat="1" x14ac:dyDescent="0.3">
      <c r="A52" s="110"/>
      <c r="B52" s="49"/>
      <c r="C52" s="49"/>
      <c r="D52" s="50"/>
      <c r="E52" s="50"/>
      <c r="F52" s="50"/>
      <c r="G52" s="50"/>
      <c r="H52" s="50"/>
      <c r="I52" s="46"/>
      <c r="J52" s="46"/>
      <c r="K52" s="46"/>
      <c r="L52" s="76"/>
      <c r="M52" s="66"/>
      <c r="N52" s="53"/>
      <c r="O52" s="53"/>
      <c r="P52" s="53"/>
      <c r="Q52" s="53"/>
      <c r="R52" s="53"/>
      <c r="S52" s="53"/>
      <c r="T52" s="65"/>
      <c r="U52" s="1"/>
    </row>
    <row r="53" spans="1:16384" s="14" customFormat="1" x14ac:dyDescent="0.3">
      <c r="A53" s="49"/>
      <c r="B53" s="49"/>
      <c r="C53" s="50"/>
      <c r="D53" s="50"/>
      <c r="E53" s="50"/>
      <c r="F53" s="50"/>
      <c r="G53" s="50"/>
      <c r="H53" s="50"/>
      <c r="I53" s="46"/>
      <c r="J53" s="46"/>
      <c r="K53" s="46"/>
      <c r="L53" s="76"/>
      <c r="M53" s="64"/>
      <c r="N53" s="53"/>
      <c r="O53" s="53"/>
      <c r="P53" s="53"/>
      <c r="Q53" s="53"/>
      <c r="R53" s="53"/>
      <c r="S53" s="53"/>
      <c r="T53" s="65"/>
      <c r="U53" s="1"/>
    </row>
    <row r="54" spans="1:16384" s="14" customFormat="1" x14ac:dyDescent="0.3">
      <c r="A54" s="110"/>
      <c r="B54" s="49"/>
      <c r="C54" s="50"/>
      <c r="D54" s="50"/>
      <c r="E54" s="50"/>
      <c r="F54" s="50"/>
      <c r="G54" s="50"/>
      <c r="H54" s="50"/>
      <c r="I54" s="46"/>
      <c r="J54" s="46"/>
      <c r="K54" s="46"/>
      <c r="L54" s="76"/>
      <c r="M54" s="66"/>
      <c r="N54" s="53"/>
      <c r="O54" s="53"/>
      <c r="P54" s="53"/>
      <c r="Q54" s="53"/>
      <c r="R54" s="53"/>
      <c r="S54" s="53"/>
      <c r="T54" s="65"/>
      <c r="U54" s="1"/>
    </row>
    <row r="55" spans="1:16384" s="14" customFormat="1" x14ac:dyDescent="0.3">
      <c r="A55" s="49"/>
      <c r="B55" s="49"/>
      <c r="C55" s="50"/>
      <c r="D55" s="50"/>
      <c r="E55" s="50"/>
      <c r="F55" s="50"/>
      <c r="G55" s="50"/>
      <c r="H55" s="50"/>
      <c r="I55" s="46"/>
      <c r="J55" s="46"/>
      <c r="K55" s="46"/>
      <c r="L55" s="76"/>
      <c r="M55" s="66"/>
      <c r="N55" s="53"/>
      <c r="O55" s="53"/>
      <c r="P55" s="53"/>
      <c r="Q55" s="53"/>
      <c r="R55" s="53"/>
      <c r="S55" s="53"/>
      <c r="T55" s="65"/>
      <c r="U55" s="1"/>
    </row>
    <row r="56" spans="1:16384" s="14" customFormat="1" x14ac:dyDescent="0.3">
      <c r="A56" s="111"/>
      <c r="B56" s="67"/>
      <c r="C56" s="50"/>
      <c r="D56" s="50"/>
      <c r="E56" s="50"/>
      <c r="F56" s="50"/>
      <c r="G56" s="50"/>
      <c r="H56" s="50"/>
      <c r="I56" s="46"/>
      <c r="J56" s="46"/>
      <c r="K56" s="46"/>
      <c r="L56" s="76"/>
      <c r="M56" s="66"/>
      <c r="N56" s="53"/>
      <c r="O56" s="53"/>
      <c r="P56" s="53"/>
      <c r="Q56" s="53"/>
      <c r="R56" s="53"/>
      <c r="S56" s="53"/>
      <c r="T56" s="65"/>
      <c r="U56" s="1"/>
    </row>
    <row r="57" spans="1:16384" s="14" customFormat="1" ht="14.4" customHeight="1" x14ac:dyDescent="0.3">
      <c r="A57" s="49"/>
      <c r="B57" s="49"/>
      <c r="C57" s="49"/>
      <c r="D57" s="50"/>
      <c r="E57" s="50"/>
      <c r="F57" s="50"/>
      <c r="G57" s="50"/>
      <c r="H57" s="50"/>
      <c r="I57" s="46"/>
      <c r="J57" s="46"/>
      <c r="K57" s="46"/>
      <c r="L57" s="76"/>
      <c r="M57" s="66"/>
      <c r="N57" s="53"/>
      <c r="O57" s="53"/>
      <c r="P57" s="53"/>
      <c r="Q57" s="53"/>
      <c r="R57" s="53"/>
      <c r="S57" s="53"/>
      <c r="T57" s="65"/>
      <c r="U57" s="1"/>
    </row>
    <row r="58" spans="1:16384" s="14" customFormat="1" ht="14.4" customHeight="1" x14ac:dyDescent="0.3">
      <c r="A58" s="110"/>
      <c r="B58" s="49"/>
      <c r="C58" s="49"/>
      <c r="D58" s="50"/>
      <c r="E58" s="50"/>
      <c r="F58" s="50"/>
      <c r="G58" s="50"/>
      <c r="H58" s="50"/>
      <c r="I58" s="46"/>
      <c r="J58" s="46"/>
      <c r="K58" s="46"/>
      <c r="L58" s="76"/>
      <c r="M58" s="66"/>
      <c r="N58" s="53"/>
      <c r="O58" s="53"/>
      <c r="P58" s="53"/>
      <c r="Q58" s="53"/>
      <c r="R58" s="53"/>
      <c r="S58" s="53"/>
      <c r="T58" s="65"/>
      <c r="U58" s="1"/>
    </row>
    <row r="59" spans="1:16384" s="14" customFormat="1" x14ac:dyDescent="0.3">
      <c r="A59" s="49"/>
      <c r="B59" s="49"/>
      <c r="C59" s="49"/>
      <c r="D59" s="50"/>
      <c r="E59" s="50"/>
      <c r="F59" s="50"/>
      <c r="G59" s="50"/>
      <c r="H59" s="50"/>
      <c r="I59" s="46"/>
      <c r="J59" s="46"/>
      <c r="K59" s="46"/>
      <c r="L59" s="76"/>
      <c r="M59" s="66"/>
      <c r="N59" s="53"/>
      <c r="O59" s="53"/>
      <c r="P59" s="53"/>
      <c r="Q59" s="53"/>
      <c r="R59" s="53"/>
      <c r="S59" s="53"/>
      <c r="T59" s="65"/>
      <c r="U59" s="1"/>
    </row>
    <row r="60" spans="1:16384" s="68" customFormat="1" x14ac:dyDescent="0.3">
      <c r="A60" s="110"/>
      <c r="B60" s="49"/>
      <c r="C60" s="49"/>
      <c r="D60" s="50"/>
      <c r="E60" s="50"/>
      <c r="F60" s="50"/>
      <c r="G60" s="50"/>
      <c r="H60" s="50"/>
      <c r="I60" s="46"/>
      <c r="J60" s="46"/>
      <c r="K60" s="51"/>
      <c r="L60" s="76"/>
      <c r="M60" s="66"/>
      <c r="N60" s="53"/>
      <c r="O60" s="53"/>
      <c r="P60" s="53"/>
      <c r="Q60" s="53"/>
      <c r="R60" s="53"/>
      <c r="S60" s="53"/>
      <c r="T60" s="65"/>
      <c r="U60" s="14"/>
      <c r="V60" s="14"/>
      <c r="W60" s="54"/>
      <c r="X60" s="54"/>
      <c r="Y60" s="54"/>
      <c r="Z60" s="54"/>
      <c r="AA60" s="55"/>
      <c r="AB60" s="55"/>
      <c r="AC60" s="58"/>
      <c r="AD60" s="58"/>
      <c r="AE60" s="58"/>
      <c r="AF60" s="58"/>
      <c r="AG60" s="58"/>
      <c r="AH60" s="58"/>
      <c r="AI60" s="58"/>
      <c r="AJ60" s="14"/>
      <c r="AK60" s="14"/>
      <c r="AL60" s="14"/>
      <c r="AM60" s="14"/>
      <c r="AN60" s="54"/>
      <c r="AO60" s="54"/>
      <c r="AP60" s="54"/>
      <c r="AQ60" s="54"/>
      <c r="AR60" s="55"/>
      <c r="AS60" s="55"/>
      <c r="AT60" s="58"/>
      <c r="AU60" s="58"/>
      <c r="AV60" s="58"/>
      <c r="AW60" s="58"/>
      <c r="AX60" s="58"/>
      <c r="AY60" s="58"/>
      <c r="AZ60" s="58"/>
      <c r="BA60" s="14"/>
      <c r="BB60" s="14"/>
      <c r="BC60" s="14"/>
      <c r="BD60" s="14"/>
      <c r="BE60" s="54"/>
      <c r="BF60" s="54"/>
      <c r="BG60" s="54"/>
      <c r="BH60" s="54"/>
      <c r="BI60" s="55"/>
      <c r="BJ60" s="55"/>
      <c r="BK60" s="58"/>
      <c r="BL60" s="58"/>
      <c r="BM60" s="58"/>
      <c r="BN60" s="58"/>
      <c r="BO60" s="58"/>
      <c r="BP60" s="58"/>
      <c r="BQ60" s="58"/>
      <c r="BR60" s="14"/>
      <c r="BS60" s="14"/>
      <c r="BT60" s="14"/>
      <c r="BU60" s="14"/>
      <c r="BV60" s="54"/>
      <c r="BW60" s="54"/>
      <c r="BX60" s="54"/>
      <c r="BY60" s="54"/>
      <c r="BZ60" s="55"/>
      <c r="CA60" s="55"/>
      <c r="CB60" s="58"/>
      <c r="CC60" s="58"/>
      <c r="CD60" s="58"/>
      <c r="CE60" s="58"/>
      <c r="CF60" s="58"/>
      <c r="CG60" s="58"/>
      <c r="CH60" s="58"/>
      <c r="CI60" s="14"/>
      <c r="CJ60" s="14"/>
      <c r="CK60" s="14"/>
      <c r="CL60" s="14"/>
      <c r="CM60" s="54"/>
      <c r="CN60" s="54"/>
      <c r="CO60" s="54"/>
      <c r="CP60" s="54"/>
      <c r="CQ60" s="55"/>
      <c r="CR60" s="55"/>
      <c r="CS60" s="58"/>
      <c r="CT60" s="58"/>
      <c r="CU60" s="58"/>
      <c r="CV60" s="58"/>
      <c r="CW60" s="58"/>
      <c r="CX60" s="58"/>
      <c r="CY60" s="58"/>
      <c r="CZ60" s="14"/>
      <c r="DA60" s="14"/>
      <c r="DB60" s="14"/>
      <c r="DC60" s="14"/>
      <c r="DD60" s="54"/>
      <c r="DE60" s="54"/>
      <c r="DF60" s="54"/>
      <c r="DG60" s="54"/>
      <c r="DH60" s="55"/>
      <c r="DI60" s="55"/>
      <c r="DJ60" s="58"/>
      <c r="DK60" s="58"/>
      <c r="DL60" s="58"/>
      <c r="DM60" s="58"/>
      <c r="DN60" s="58"/>
      <c r="DO60" s="58"/>
      <c r="DP60" s="58"/>
      <c r="DQ60" s="14"/>
      <c r="DR60" s="14"/>
      <c r="DS60" s="14"/>
      <c r="DT60" s="14"/>
      <c r="DU60" s="54"/>
      <c r="DV60" s="54"/>
      <c r="DW60" s="54"/>
      <c r="DX60" s="54"/>
      <c r="DY60" s="55"/>
      <c r="DZ60" s="55"/>
      <c r="EA60" s="58"/>
      <c r="EB60" s="58"/>
      <c r="EC60" s="58"/>
      <c r="ED60" s="58"/>
      <c r="EE60" s="58"/>
      <c r="EF60" s="58"/>
      <c r="EG60" s="58"/>
      <c r="EH60" s="14"/>
      <c r="EI60" s="14"/>
      <c r="EJ60" s="14"/>
      <c r="EK60" s="14"/>
      <c r="EL60" s="54"/>
      <c r="EM60" s="54"/>
      <c r="EN60" s="54"/>
      <c r="EO60" s="54"/>
      <c r="EP60" s="55"/>
      <c r="EQ60" s="55"/>
      <c r="ER60" s="58"/>
      <c r="ES60" s="58"/>
      <c r="ET60" s="58"/>
      <c r="EU60" s="58"/>
      <c r="EV60" s="58"/>
      <c r="EW60" s="58"/>
      <c r="EX60" s="58"/>
      <c r="EY60" s="14"/>
      <c r="EZ60" s="14"/>
      <c r="FA60" s="14"/>
      <c r="FB60" s="14"/>
      <c r="FC60" s="54"/>
      <c r="FD60" s="54"/>
      <c r="FE60" s="54"/>
      <c r="FF60" s="54"/>
      <c r="FG60" s="55"/>
      <c r="FH60" s="55"/>
      <c r="FI60" s="58"/>
      <c r="FJ60" s="58"/>
      <c r="FK60" s="58"/>
      <c r="FL60" s="58"/>
      <c r="FM60" s="58"/>
      <c r="FN60" s="58"/>
      <c r="FO60" s="58"/>
      <c r="FP60" s="14"/>
      <c r="FQ60" s="14"/>
      <c r="FR60" s="14"/>
      <c r="FS60" s="14"/>
      <c r="FT60" s="54"/>
      <c r="FU60" s="54"/>
      <c r="FV60" s="54"/>
      <c r="FW60" s="54"/>
      <c r="FX60" s="55"/>
      <c r="FY60" s="55"/>
      <c r="FZ60" s="58"/>
      <c r="GA60" s="58"/>
      <c r="GB60" s="58"/>
      <c r="GC60" s="58"/>
      <c r="GD60" s="58"/>
      <c r="GE60" s="58"/>
      <c r="GF60" s="58"/>
      <c r="GG60" s="14"/>
      <c r="GH60" s="14"/>
      <c r="GI60" s="14"/>
      <c r="GJ60" s="14"/>
      <c r="GK60" s="54"/>
      <c r="GL60" s="54"/>
      <c r="GM60" s="54"/>
      <c r="GN60" s="54"/>
      <c r="GO60" s="55"/>
      <c r="GP60" s="55"/>
      <c r="GQ60" s="58"/>
      <c r="GR60" s="58"/>
      <c r="GS60" s="58"/>
      <c r="GT60" s="58"/>
      <c r="GU60" s="58"/>
      <c r="GV60" s="58"/>
      <c r="GW60" s="58"/>
      <c r="GX60" s="14"/>
      <c r="GY60" s="14"/>
      <c r="GZ60" s="14"/>
      <c r="HA60" s="14"/>
      <c r="HB60" s="54"/>
      <c r="HC60" s="54"/>
      <c r="HD60" s="54"/>
      <c r="HE60" s="54"/>
      <c r="HF60" s="55"/>
      <c r="HG60" s="55"/>
      <c r="HH60" s="58"/>
      <c r="HI60" s="58"/>
      <c r="HJ60" s="58"/>
      <c r="HK60" s="58"/>
      <c r="HL60" s="58"/>
      <c r="HM60" s="58"/>
      <c r="HN60" s="58"/>
      <c r="HO60" s="14"/>
      <c r="HP60" s="14"/>
      <c r="HQ60" s="14"/>
      <c r="HR60" s="14"/>
      <c r="HS60" s="54"/>
      <c r="HT60" s="54"/>
      <c r="HU60" s="54"/>
      <c r="HV60" s="54"/>
      <c r="HW60" s="55"/>
      <c r="HX60" s="55"/>
      <c r="HY60" s="58"/>
      <c r="HZ60" s="58"/>
      <c r="IA60" s="58"/>
      <c r="IB60" s="58"/>
      <c r="IC60" s="58"/>
      <c r="ID60" s="58"/>
      <c r="IE60" s="58"/>
      <c r="IF60" s="14"/>
      <c r="IG60" s="14"/>
      <c r="IH60" s="14"/>
      <c r="II60" s="14"/>
      <c r="IJ60" s="54"/>
      <c r="IK60" s="54"/>
      <c r="IL60" s="54"/>
      <c r="IM60" s="54"/>
      <c r="IN60" s="55"/>
      <c r="IO60" s="55"/>
      <c r="IP60" s="58"/>
      <c r="IQ60" s="58"/>
      <c r="IR60" s="58"/>
      <c r="IS60" s="58"/>
      <c r="IT60" s="58"/>
      <c r="IU60" s="58"/>
      <c r="IV60" s="58"/>
      <c r="IW60" s="14"/>
      <c r="IX60" s="14"/>
      <c r="IY60" s="14"/>
      <c r="IZ60" s="14"/>
      <c r="JA60" s="54"/>
      <c r="JB60" s="54"/>
      <c r="JC60" s="54"/>
      <c r="JD60" s="54"/>
      <c r="JE60" s="55"/>
      <c r="JF60" s="55"/>
      <c r="JG60" s="58"/>
      <c r="JH60" s="58"/>
      <c r="JI60" s="58"/>
      <c r="JJ60" s="58"/>
      <c r="JK60" s="58"/>
      <c r="JL60" s="58"/>
      <c r="JM60" s="58"/>
      <c r="JN60" s="14"/>
      <c r="JO60" s="14"/>
      <c r="JP60" s="14"/>
      <c r="JQ60" s="14"/>
      <c r="JR60" s="54"/>
      <c r="JS60" s="54"/>
      <c r="JT60" s="54"/>
      <c r="JU60" s="54"/>
      <c r="JV60" s="55"/>
      <c r="JW60" s="55"/>
      <c r="JX60" s="58"/>
      <c r="JY60" s="58"/>
      <c r="JZ60" s="58"/>
      <c r="KA60" s="58"/>
      <c r="KB60" s="58"/>
      <c r="KC60" s="58"/>
      <c r="KD60" s="58"/>
      <c r="KE60" s="14"/>
      <c r="KF60" s="14"/>
      <c r="KG60" s="14"/>
      <c r="KH60" s="14"/>
      <c r="KI60" s="54"/>
      <c r="KJ60" s="54"/>
      <c r="KK60" s="54"/>
      <c r="KL60" s="54"/>
      <c r="KM60" s="55"/>
      <c r="KN60" s="55"/>
      <c r="KO60" s="58"/>
      <c r="KP60" s="58"/>
      <c r="KQ60" s="58"/>
      <c r="KR60" s="58"/>
      <c r="KS60" s="58"/>
      <c r="KT60" s="58"/>
      <c r="KU60" s="58"/>
      <c r="KV60" s="14"/>
      <c r="KW60" s="14"/>
      <c r="KX60" s="14"/>
      <c r="KY60" s="14"/>
      <c r="KZ60" s="54"/>
      <c r="LA60" s="54"/>
      <c r="LB60" s="54"/>
      <c r="LC60" s="54"/>
      <c r="LD60" s="55"/>
      <c r="LE60" s="55"/>
      <c r="LF60" s="58"/>
      <c r="LG60" s="58"/>
      <c r="LH60" s="58"/>
      <c r="LI60" s="58"/>
      <c r="LJ60" s="58"/>
      <c r="LK60" s="58"/>
      <c r="LL60" s="58"/>
      <c r="LM60" s="14"/>
      <c r="LN60" s="14"/>
      <c r="LO60" s="14"/>
      <c r="LP60" s="14"/>
      <c r="LQ60" s="54"/>
      <c r="LR60" s="54"/>
      <c r="LS60" s="54"/>
      <c r="LT60" s="54"/>
      <c r="LU60" s="55"/>
      <c r="LV60" s="55"/>
      <c r="LW60" s="58"/>
      <c r="LX60" s="58"/>
      <c r="LY60" s="58"/>
      <c r="LZ60" s="58"/>
      <c r="MA60" s="58"/>
      <c r="MB60" s="58"/>
      <c r="MC60" s="58"/>
      <c r="MD60" s="14"/>
      <c r="ME60" s="14"/>
      <c r="MF60" s="14"/>
      <c r="MG60" s="14"/>
      <c r="MH60" s="54"/>
      <c r="MI60" s="54"/>
      <c r="MJ60" s="54"/>
      <c r="MK60" s="54"/>
      <c r="ML60" s="55"/>
      <c r="MM60" s="55"/>
      <c r="MN60" s="58"/>
      <c r="MO60" s="58"/>
      <c r="MP60" s="58"/>
      <c r="MQ60" s="58"/>
      <c r="MR60" s="58"/>
      <c r="MS60" s="58"/>
      <c r="MT60" s="58"/>
      <c r="MU60" s="14"/>
      <c r="MV60" s="14"/>
      <c r="MW60" s="14"/>
      <c r="MX60" s="14"/>
      <c r="MY60" s="54"/>
      <c r="MZ60" s="54"/>
      <c r="NA60" s="54"/>
      <c r="NB60" s="54"/>
      <c r="NC60" s="55"/>
      <c r="ND60" s="55"/>
      <c r="NE60" s="58"/>
      <c r="NF60" s="58"/>
      <c r="NG60" s="58"/>
      <c r="NH60" s="58"/>
      <c r="NI60" s="58"/>
      <c r="NJ60" s="58"/>
      <c r="NK60" s="58"/>
      <c r="NL60" s="14"/>
      <c r="NM60" s="14"/>
      <c r="NN60" s="14"/>
      <c r="NO60" s="14"/>
      <c r="NP60" s="54"/>
      <c r="NQ60" s="54"/>
      <c r="NR60" s="54"/>
      <c r="NS60" s="54"/>
      <c r="NT60" s="55"/>
      <c r="NU60" s="55"/>
      <c r="NV60" s="58"/>
      <c r="NW60" s="58"/>
      <c r="NX60" s="58"/>
      <c r="NY60" s="58"/>
      <c r="NZ60" s="58"/>
      <c r="OA60" s="58"/>
      <c r="OB60" s="58"/>
      <c r="OC60" s="14"/>
      <c r="OD60" s="14"/>
      <c r="OE60" s="14"/>
      <c r="OF60" s="14"/>
      <c r="OG60" s="54"/>
      <c r="OH60" s="54"/>
      <c r="OI60" s="54"/>
      <c r="OJ60" s="54"/>
      <c r="OK60" s="55"/>
      <c r="OL60" s="55"/>
      <c r="OM60" s="58"/>
      <c r="ON60" s="58"/>
      <c r="OO60" s="58"/>
      <c r="OP60" s="58"/>
      <c r="OQ60" s="58"/>
      <c r="OR60" s="58"/>
      <c r="OS60" s="58"/>
      <c r="OT60" s="14"/>
      <c r="OU60" s="14"/>
      <c r="OV60" s="14"/>
      <c r="OW60" s="14"/>
      <c r="OX60" s="54"/>
      <c r="OY60" s="54"/>
      <c r="OZ60" s="54"/>
      <c r="PA60" s="54"/>
      <c r="PB60" s="55"/>
      <c r="PC60" s="55"/>
      <c r="PD60" s="58"/>
      <c r="PE60" s="58"/>
      <c r="PF60" s="58"/>
      <c r="PG60" s="58"/>
      <c r="PH60" s="58"/>
      <c r="PI60" s="58"/>
      <c r="PJ60" s="58"/>
      <c r="PK60" s="14"/>
      <c r="PL60" s="14"/>
      <c r="PM60" s="14"/>
      <c r="PN60" s="14"/>
      <c r="PO60" s="54"/>
      <c r="PP60" s="54"/>
      <c r="PQ60" s="54"/>
      <c r="PR60" s="54"/>
      <c r="PS60" s="55"/>
      <c r="PT60" s="55"/>
      <c r="PU60" s="58"/>
      <c r="PV60" s="58"/>
      <c r="PW60" s="58"/>
      <c r="PX60" s="58"/>
      <c r="PY60" s="58"/>
      <c r="PZ60" s="58"/>
      <c r="QA60" s="58"/>
      <c r="QB60" s="14"/>
      <c r="QC60" s="14"/>
      <c r="QD60" s="14"/>
      <c r="QE60" s="14"/>
      <c r="QF60" s="54"/>
      <c r="QG60" s="54"/>
      <c r="QH60" s="54"/>
      <c r="QI60" s="54"/>
      <c r="QJ60" s="55"/>
      <c r="QK60" s="55"/>
      <c r="QL60" s="58"/>
      <c r="QM60" s="58"/>
      <c r="QN60" s="58"/>
      <c r="QO60" s="58"/>
      <c r="QP60" s="58"/>
      <c r="QQ60" s="58"/>
      <c r="QR60" s="58"/>
      <c r="QS60" s="14"/>
      <c r="QT60" s="14"/>
      <c r="QU60" s="14"/>
      <c r="QV60" s="14"/>
      <c r="QW60" s="54"/>
      <c r="QX60" s="54"/>
      <c r="QY60" s="54"/>
      <c r="QZ60" s="54"/>
      <c r="RA60" s="55"/>
      <c r="RB60" s="55"/>
      <c r="RC60" s="58"/>
      <c r="RD60" s="58"/>
      <c r="RE60" s="58"/>
      <c r="RF60" s="58"/>
      <c r="RG60" s="58"/>
      <c r="RH60" s="58"/>
      <c r="RI60" s="58"/>
      <c r="RJ60" s="14"/>
      <c r="RK60" s="14"/>
      <c r="RL60" s="14"/>
      <c r="RM60" s="14"/>
      <c r="RN60" s="54"/>
      <c r="RO60" s="54"/>
      <c r="RP60" s="54"/>
      <c r="RQ60" s="54"/>
      <c r="RR60" s="55"/>
      <c r="RS60" s="55"/>
      <c r="RT60" s="58"/>
      <c r="RU60" s="58"/>
      <c r="RV60" s="58"/>
      <c r="RW60" s="58"/>
      <c r="RX60" s="58"/>
      <c r="RY60" s="58"/>
      <c r="RZ60" s="58"/>
      <c r="SA60" s="14"/>
      <c r="SB60" s="14"/>
      <c r="SC60" s="14"/>
      <c r="SD60" s="14"/>
      <c r="SE60" s="54"/>
      <c r="SF60" s="54"/>
      <c r="SG60" s="54"/>
      <c r="SH60" s="54"/>
      <c r="SI60" s="55"/>
      <c r="SJ60" s="55"/>
      <c r="SK60" s="58"/>
      <c r="SL60" s="58"/>
      <c r="SM60" s="58"/>
      <c r="SN60" s="58"/>
      <c r="SO60" s="58"/>
      <c r="SP60" s="58"/>
      <c r="SQ60" s="58"/>
      <c r="SR60" s="14"/>
      <c r="SS60" s="14"/>
      <c r="ST60" s="14"/>
      <c r="SU60" s="14"/>
      <c r="SV60" s="54"/>
      <c r="SW60" s="54"/>
      <c r="SX60" s="54"/>
      <c r="SY60" s="54"/>
      <c r="SZ60" s="55"/>
      <c r="TA60" s="55"/>
      <c r="TB60" s="58"/>
      <c r="TC60" s="58"/>
      <c r="TD60" s="58"/>
      <c r="TE60" s="58"/>
      <c r="TF60" s="58"/>
      <c r="TG60" s="58"/>
      <c r="TH60" s="58"/>
      <c r="TI60" s="14"/>
      <c r="TJ60" s="14"/>
      <c r="TK60" s="14"/>
      <c r="TL60" s="14"/>
      <c r="TM60" s="54"/>
      <c r="TN60" s="54"/>
      <c r="TO60" s="54"/>
      <c r="TP60" s="54"/>
      <c r="TQ60" s="55"/>
      <c r="TR60" s="55"/>
      <c r="TS60" s="58"/>
      <c r="TT60" s="58"/>
      <c r="TU60" s="58"/>
      <c r="TV60" s="58"/>
      <c r="TW60" s="58"/>
      <c r="TX60" s="58"/>
      <c r="TY60" s="58"/>
      <c r="TZ60" s="14"/>
      <c r="UA60" s="14"/>
      <c r="UB60" s="14"/>
      <c r="UC60" s="14"/>
      <c r="UD60" s="54"/>
      <c r="UE60" s="54"/>
      <c r="UF60" s="54"/>
      <c r="UG60" s="54"/>
      <c r="UH60" s="55"/>
      <c r="UI60" s="55"/>
      <c r="UJ60" s="58"/>
      <c r="UK60" s="58"/>
      <c r="UL60" s="58"/>
      <c r="UM60" s="58"/>
      <c r="UN60" s="58"/>
      <c r="UO60" s="58"/>
      <c r="UP60" s="58"/>
      <c r="UQ60" s="14"/>
      <c r="UR60" s="14"/>
      <c r="US60" s="14"/>
      <c r="UT60" s="14"/>
      <c r="UU60" s="54"/>
      <c r="UV60" s="54"/>
      <c r="UW60" s="54"/>
      <c r="UX60" s="54"/>
      <c r="UY60" s="55"/>
      <c r="UZ60" s="55"/>
      <c r="VA60" s="58"/>
      <c r="VB60" s="58"/>
      <c r="VC60" s="58"/>
      <c r="VD60" s="58"/>
      <c r="VE60" s="58"/>
      <c r="VF60" s="58"/>
      <c r="VG60" s="58"/>
      <c r="VH60" s="14"/>
      <c r="VI60" s="14"/>
      <c r="VJ60" s="14"/>
      <c r="VK60" s="14"/>
      <c r="VL60" s="54"/>
      <c r="VM60" s="54"/>
      <c r="VN60" s="54"/>
      <c r="VO60" s="54"/>
      <c r="VP60" s="55"/>
      <c r="VQ60" s="55"/>
      <c r="VR60" s="58"/>
      <c r="VS60" s="58"/>
      <c r="VT60" s="58"/>
      <c r="VU60" s="58"/>
      <c r="VV60" s="58"/>
      <c r="VW60" s="58"/>
      <c r="VX60" s="58"/>
      <c r="VY60" s="14"/>
      <c r="VZ60" s="14"/>
      <c r="WA60" s="14"/>
      <c r="WB60" s="14"/>
      <c r="WC60" s="54"/>
      <c r="WD60" s="54"/>
      <c r="WE60" s="54"/>
      <c r="WF60" s="54"/>
      <c r="WG60" s="55"/>
      <c r="WH60" s="55"/>
      <c r="WI60" s="58"/>
      <c r="WJ60" s="58"/>
      <c r="WK60" s="58"/>
      <c r="WL60" s="58"/>
      <c r="WM60" s="58"/>
      <c r="WN60" s="58"/>
      <c r="WO60" s="58"/>
      <c r="WP60" s="14"/>
      <c r="WQ60" s="14"/>
      <c r="WR60" s="14"/>
      <c r="WS60" s="14"/>
      <c r="WT60" s="54"/>
      <c r="WU60" s="54"/>
      <c r="WV60" s="54"/>
      <c r="WW60" s="54"/>
      <c r="WX60" s="55"/>
      <c r="WY60" s="55"/>
      <c r="WZ60" s="58"/>
      <c r="XA60" s="58"/>
      <c r="XB60" s="58"/>
      <c r="XC60" s="58"/>
      <c r="XD60" s="58"/>
      <c r="XE60" s="58"/>
      <c r="XF60" s="58"/>
      <c r="XG60" s="14"/>
      <c r="XH60" s="14"/>
      <c r="XI60" s="14"/>
      <c r="XJ60" s="14"/>
      <c r="XK60" s="54"/>
      <c r="XL60" s="54"/>
      <c r="XM60" s="54"/>
      <c r="XN60" s="54"/>
      <c r="XO60" s="55"/>
      <c r="XP60" s="55"/>
      <c r="XQ60" s="58"/>
      <c r="XR60" s="58"/>
      <c r="XS60" s="58"/>
      <c r="XT60" s="58"/>
      <c r="XU60" s="58"/>
      <c r="XV60" s="58"/>
      <c r="XW60" s="58"/>
      <c r="XX60" s="14"/>
      <c r="XY60" s="14"/>
      <c r="XZ60" s="14"/>
      <c r="YA60" s="14"/>
      <c r="YB60" s="54"/>
      <c r="YC60" s="54"/>
      <c r="YD60" s="54"/>
      <c r="YE60" s="54"/>
      <c r="YF60" s="55"/>
      <c r="YG60" s="55"/>
      <c r="YH60" s="58"/>
      <c r="YI60" s="58"/>
      <c r="YJ60" s="58"/>
      <c r="YK60" s="58"/>
      <c r="YL60" s="58"/>
      <c r="YM60" s="58"/>
      <c r="YN60" s="58"/>
      <c r="YO60" s="14"/>
      <c r="YP60" s="14"/>
      <c r="YQ60" s="14"/>
      <c r="YR60" s="14"/>
      <c r="YS60" s="54"/>
      <c r="YT60" s="54"/>
      <c r="YU60" s="54"/>
      <c r="YV60" s="54"/>
      <c r="YW60" s="55"/>
      <c r="YX60" s="55"/>
      <c r="YY60" s="58"/>
      <c r="YZ60" s="58"/>
      <c r="ZA60" s="58"/>
      <c r="ZB60" s="58"/>
      <c r="ZC60" s="58"/>
      <c r="ZD60" s="58"/>
      <c r="ZE60" s="58"/>
      <c r="ZF60" s="14"/>
      <c r="ZG60" s="14"/>
      <c r="ZH60" s="14"/>
      <c r="ZI60" s="14"/>
      <c r="ZJ60" s="54"/>
      <c r="ZK60" s="54"/>
      <c r="ZL60" s="54"/>
      <c r="ZM60" s="54"/>
      <c r="ZN60" s="55"/>
      <c r="ZO60" s="55"/>
      <c r="ZP60" s="58"/>
      <c r="ZQ60" s="58"/>
      <c r="ZR60" s="58"/>
      <c r="ZS60" s="58"/>
      <c r="ZT60" s="58"/>
      <c r="ZU60" s="58"/>
      <c r="ZV60" s="58"/>
      <c r="ZW60" s="14"/>
      <c r="ZX60" s="14"/>
      <c r="ZY60" s="14"/>
      <c r="ZZ60" s="14"/>
      <c r="AAA60" s="54"/>
      <c r="AAB60" s="54"/>
      <c r="AAC60" s="54"/>
      <c r="AAD60" s="54"/>
      <c r="AAE60" s="55"/>
      <c r="AAF60" s="55"/>
      <c r="AAG60" s="58"/>
      <c r="AAH60" s="58"/>
      <c r="AAI60" s="58"/>
      <c r="AAJ60" s="58"/>
      <c r="AAK60" s="58"/>
      <c r="AAL60" s="58"/>
      <c r="AAM60" s="58"/>
      <c r="AAN60" s="14"/>
      <c r="AAO60" s="14"/>
      <c r="AAP60" s="14"/>
      <c r="AAQ60" s="14"/>
      <c r="AAR60" s="54"/>
      <c r="AAS60" s="54"/>
      <c r="AAT60" s="54"/>
      <c r="AAU60" s="54"/>
      <c r="AAV60" s="55"/>
      <c r="AAW60" s="55"/>
      <c r="AAX60" s="58"/>
      <c r="AAY60" s="58"/>
      <c r="AAZ60" s="58"/>
      <c r="ABA60" s="58"/>
      <c r="ABB60" s="58"/>
      <c r="ABC60" s="58"/>
      <c r="ABD60" s="58"/>
      <c r="ABE60" s="14"/>
      <c r="ABF60" s="14"/>
      <c r="ABG60" s="14"/>
      <c r="ABH60" s="14"/>
      <c r="ABI60" s="54"/>
      <c r="ABJ60" s="54"/>
      <c r="ABK60" s="54"/>
      <c r="ABL60" s="54"/>
      <c r="ABM60" s="55"/>
      <c r="ABN60" s="55"/>
      <c r="ABO60" s="58"/>
      <c r="ABP60" s="58"/>
      <c r="ABQ60" s="58"/>
      <c r="ABR60" s="58"/>
      <c r="ABS60" s="58"/>
      <c r="ABT60" s="58"/>
      <c r="ABU60" s="58"/>
      <c r="ABV60" s="14"/>
      <c r="ABW60" s="14"/>
      <c r="ABX60" s="14"/>
      <c r="ABY60" s="14"/>
      <c r="ABZ60" s="54"/>
      <c r="ACA60" s="54"/>
      <c r="ACB60" s="54"/>
      <c r="ACC60" s="54"/>
      <c r="ACD60" s="55"/>
      <c r="ACE60" s="55"/>
      <c r="ACF60" s="58"/>
      <c r="ACG60" s="58"/>
      <c r="ACH60" s="58"/>
      <c r="ACI60" s="58"/>
      <c r="ACJ60" s="58"/>
      <c r="ACK60" s="58"/>
      <c r="ACL60" s="58"/>
      <c r="ACM60" s="14"/>
      <c r="ACN60" s="14"/>
      <c r="ACO60" s="14"/>
      <c r="ACP60" s="14"/>
      <c r="ACQ60" s="54"/>
      <c r="ACR60" s="54"/>
      <c r="ACS60" s="54"/>
      <c r="ACT60" s="54"/>
      <c r="ACU60" s="55"/>
      <c r="ACV60" s="55"/>
      <c r="ACW60" s="58"/>
      <c r="ACX60" s="58"/>
      <c r="ACY60" s="58"/>
      <c r="ACZ60" s="58"/>
      <c r="ADA60" s="58"/>
      <c r="ADB60" s="58"/>
      <c r="ADC60" s="58"/>
      <c r="ADD60" s="14"/>
      <c r="ADE60" s="14"/>
      <c r="ADF60" s="14"/>
      <c r="ADG60" s="14"/>
      <c r="ADH60" s="54"/>
      <c r="ADI60" s="54"/>
      <c r="ADJ60" s="54"/>
      <c r="ADK60" s="54"/>
      <c r="ADL60" s="55"/>
      <c r="ADM60" s="55"/>
      <c r="ADN60" s="58"/>
      <c r="ADO60" s="58"/>
      <c r="ADP60" s="58"/>
      <c r="ADQ60" s="58"/>
      <c r="ADR60" s="58"/>
      <c r="ADS60" s="58"/>
      <c r="ADT60" s="58"/>
      <c r="ADU60" s="14"/>
      <c r="ADV60" s="14"/>
      <c r="ADW60" s="14"/>
      <c r="ADX60" s="14"/>
      <c r="ADY60" s="54"/>
      <c r="ADZ60" s="54"/>
      <c r="AEA60" s="54"/>
      <c r="AEB60" s="54"/>
      <c r="AEC60" s="55"/>
      <c r="AED60" s="55"/>
      <c r="AEE60" s="58"/>
      <c r="AEF60" s="58"/>
      <c r="AEG60" s="58"/>
      <c r="AEH60" s="58"/>
      <c r="AEI60" s="58"/>
      <c r="AEJ60" s="58"/>
      <c r="AEK60" s="58"/>
      <c r="AEL60" s="14"/>
      <c r="AEM60" s="14"/>
      <c r="AEN60" s="14"/>
      <c r="AEO60" s="14"/>
      <c r="AEP60" s="54"/>
      <c r="AEQ60" s="54"/>
      <c r="AER60" s="54"/>
      <c r="AES60" s="54"/>
      <c r="AET60" s="55"/>
      <c r="AEU60" s="55"/>
      <c r="AEV60" s="58"/>
      <c r="AEW60" s="58"/>
      <c r="AEX60" s="58"/>
      <c r="AEY60" s="58"/>
      <c r="AEZ60" s="58"/>
      <c r="AFA60" s="58"/>
      <c r="AFB60" s="58"/>
      <c r="AFC60" s="14"/>
      <c r="AFD60" s="14"/>
      <c r="AFE60" s="14"/>
      <c r="AFF60" s="14"/>
      <c r="AFG60" s="54"/>
      <c r="AFH60" s="54"/>
      <c r="AFI60" s="54"/>
      <c r="AFJ60" s="54"/>
      <c r="AFK60" s="55"/>
      <c r="AFL60" s="55"/>
      <c r="AFM60" s="58"/>
      <c r="AFN60" s="58"/>
      <c r="AFO60" s="58"/>
      <c r="AFP60" s="58"/>
      <c r="AFQ60" s="58"/>
      <c r="AFR60" s="58"/>
      <c r="AFS60" s="58"/>
      <c r="AFT60" s="14"/>
      <c r="AFU60" s="14"/>
      <c r="AFV60" s="14"/>
      <c r="AFW60" s="14"/>
      <c r="AFX60" s="54"/>
      <c r="AFY60" s="54"/>
      <c r="AFZ60" s="54"/>
      <c r="AGA60" s="54"/>
      <c r="AGB60" s="55"/>
      <c r="AGC60" s="55"/>
      <c r="AGD60" s="58"/>
      <c r="AGE60" s="58"/>
      <c r="AGF60" s="58"/>
      <c r="AGG60" s="58"/>
      <c r="AGH60" s="58"/>
      <c r="AGI60" s="58"/>
      <c r="AGJ60" s="58"/>
      <c r="AGK60" s="14"/>
      <c r="AGL60" s="14"/>
      <c r="AGM60" s="14"/>
      <c r="AGN60" s="14"/>
      <c r="AGO60" s="54"/>
      <c r="AGP60" s="54"/>
      <c r="AGQ60" s="54"/>
      <c r="AGR60" s="54"/>
      <c r="AGS60" s="55"/>
      <c r="AGT60" s="55"/>
      <c r="AGU60" s="58"/>
      <c r="AGV60" s="58"/>
      <c r="AGW60" s="58"/>
      <c r="AGX60" s="58"/>
      <c r="AGY60" s="58"/>
      <c r="AGZ60" s="58"/>
      <c r="AHA60" s="58"/>
      <c r="AHB60" s="14"/>
      <c r="AHC60" s="14"/>
      <c r="AHD60" s="14"/>
      <c r="AHE60" s="14"/>
      <c r="AHF60" s="54"/>
      <c r="AHG60" s="54"/>
      <c r="AHH60" s="54"/>
      <c r="AHI60" s="54"/>
      <c r="AHJ60" s="55"/>
      <c r="AHK60" s="55"/>
      <c r="AHL60" s="58"/>
      <c r="AHM60" s="58"/>
      <c r="AHN60" s="58"/>
      <c r="AHO60" s="58"/>
      <c r="AHP60" s="58"/>
      <c r="AHQ60" s="58"/>
      <c r="AHR60" s="58"/>
      <c r="AHS60" s="14"/>
      <c r="AHT60" s="14"/>
      <c r="AHU60" s="14"/>
      <c r="AHV60" s="14"/>
      <c r="AHW60" s="54"/>
      <c r="AHX60" s="54"/>
      <c r="AHY60" s="54"/>
      <c r="AHZ60" s="54"/>
      <c r="AIA60" s="55"/>
      <c r="AIB60" s="55"/>
      <c r="AIC60" s="58"/>
      <c r="AID60" s="58"/>
      <c r="AIE60" s="58"/>
      <c r="AIF60" s="58"/>
      <c r="AIG60" s="58"/>
      <c r="AIH60" s="58"/>
      <c r="AII60" s="58"/>
      <c r="AIJ60" s="14"/>
      <c r="AIK60" s="14"/>
      <c r="AIL60" s="14"/>
      <c r="AIM60" s="14"/>
      <c r="AIN60" s="54"/>
      <c r="AIO60" s="54"/>
      <c r="AIP60" s="54"/>
      <c r="AIQ60" s="54"/>
      <c r="AIR60" s="55"/>
      <c r="AIS60" s="55"/>
      <c r="AIT60" s="58"/>
      <c r="AIU60" s="58"/>
      <c r="AIV60" s="58"/>
      <c r="AIW60" s="58"/>
      <c r="AIX60" s="58"/>
      <c r="AIY60" s="58"/>
      <c r="AIZ60" s="58"/>
      <c r="AJA60" s="14"/>
      <c r="AJB60" s="14"/>
      <c r="AJC60" s="14"/>
      <c r="AJD60" s="14"/>
      <c r="AJE60" s="54"/>
      <c r="AJF60" s="54"/>
      <c r="AJG60" s="54"/>
      <c r="AJH60" s="54"/>
      <c r="AJI60" s="55"/>
      <c r="AJJ60" s="55"/>
      <c r="AJK60" s="58"/>
      <c r="AJL60" s="58"/>
      <c r="AJM60" s="58"/>
      <c r="AJN60" s="58"/>
      <c r="AJO60" s="58"/>
      <c r="AJP60" s="58"/>
      <c r="AJQ60" s="58"/>
      <c r="AJR60" s="14"/>
      <c r="AJS60" s="14"/>
      <c r="AJT60" s="14"/>
      <c r="AJU60" s="14"/>
      <c r="AJV60" s="54"/>
      <c r="AJW60" s="54"/>
      <c r="AJX60" s="54"/>
      <c r="AJY60" s="54"/>
      <c r="AJZ60" s="55"/>
      <c r="AKA60" s="55"/>
      <c r="AKB60" s="58"/>
      <c r="AKC60" s="58"/>
      <c r="AKD60" s="58"/>
      <c r="AKE60" s="58"/>
      <c r="AKF60" s="58"/>
      <c r="AKG60" s="58"/>
      <c r="AKH60" s="58"/>
      <c r="AKI60" s="14"/>
      <c r="AKJ60" s="14"/>
      <c r="AKK60" s="14"/>
      <c r="AKL60" s="14"/>
      <c r="AKM60" s="54"/>
      <c r="AKN60" s="54"/>
      <c r="AKO60" s="54"/>
      <c r="AKP60" s="54"/>
      <c r="AKQ60" s="55"/>
      <c r="AKR60" s="55"/>
      <c r="AKS60" s="58"/>
      <c r="AKT60" s="58"/>
      <c r="AKU60" s="58"/>
      <c r="AKV60" s="58"/>
      <c r="AKW60" s="58"/>
      <c r="AKX60" s="58"/>
      <c r="AKY60" s="58"/>
      <c r="AKZ60" s="14"/>
      <c r="ALA60" s="14"/>
      <c r="ALB60" s="14"/>
      <c r="ALC60" s="14"/>
      <c r="ALD60" s="54"/>
      <c r="ALE60" s="54"/>
      <c r="ALF60" s="54"/>
      <c r="ALG60" s="54"/>
      <c r="ALH60" s="55"/>
      <c r="ALI60" s="55"/>
      <c r="ALJ60" s="58"/>
      <c r="ALK60" s="58"/>
      <c r="ALL60" s="58"/>
      <c r="ALM60" s="58"/>
      <c r="ALN60" s="58"/>
      <c r="ALO60" s="58"/>
      <c r="ALP60" s="58"/>
      <c r="ALQ60" s="14"/>
      <c r="ALR60" s="14"/>
      <c r="ALS60" s="14"/>
      <c r="ALT60" s="14"/>
      <c r="ALU60" s="54"/>
      <c r="ALV60" s="54"/>
      <c r="ALW60" s="54"/>
      <c r="ALX60" s="54"/>
      <c r="ALY60" s="55"/>
      <c r="ALZ60" s="55"/>
      <c r="AMA60" s="58"/>
      <c r="AMB60" s="58"/>
      <c r="AMC60" s="58"/>
      <c r="AMD60" s="58"/>
      <c r="AME60" s="58"/>
      <c r="AMF60" s="58"/>
      <c r="AMG60" s="58"/>
      <c r="AMH60" s="14"/>
      <c r="AMI60" s="14"/>
      <c r="AMJ60" s="14"/>
      <c r="AMK60" s="14"/>
      <c r="AML60" s="54"/>
      <c r="AMM60" s="54"/>
      <c r="AMN60" s="54"/>
      <c r="AMO60" s="54"/>
      <c r="AMP60" s="55"/>
      <c r="AMQ60" s="55"/>
      <c r="AMR60" s="58"/>
      <c r="AMS60" s="58"/>
      <c r="AMT60" s="58"/>
      <c r="AMU60" s="58"/>
      <c r="AMV60" s="58"/>
      <c r="AMW60" s="58"/>
      <c r="AMX60" s="58"/>
      <c r="AMY60" s="14"/>
      <c r="AMZ60" s="14"/>
      <c r="ANA60" s="14"/>
      <c r="ANB60" s="14"/>
      <c r="ANC60" s="54"/>
      <c r="AND60" s="54"/>
      <c r="ANE60" s="54"/>
      <c r="ANF60" s="54"/>
      <c r="ANG60" s="55"/>
      <c r="ANH60" s="55"/>
      <c r="ANI60" s="58"/>
      <c r="ANJ60" s="58"/>
      <c r="ANK60" s="58"/>
      <c r="ANL60" s="58"/>
      <c r="ANM60" s="58"/>
      <c r="ANN60" s="58"/>
      <c r="ANO60" s="58"/>
      <c r="ANP60" s="14"/>
      <c r="ANQ60" s="14"/>
      <c r="ANR60" s="14"/>
      <c r="ANS60" s="14"/>
      <c r="ANT60" s="54"/>
      <c r="ANU60" s="54"/>
      <c r="ANV60" s="54"/>
      <c r="ANW60" s="54"/>
      <c r="ANX60" s="55"/>
      <c r="ANY60" s="55"/>
      <c r="ANZ60" s="58"/>
      <c r="AOA60" s="58"/>
      <c r="AOB60" s="58"/>
      <c r="AOC60" s="58"/>
      <c r="AOD60" s="58"/>
      <c r="AOE60" s="58"/>
      <c r="AOF60" s="58"/>
      <c r="AOG60" s="14"/>
      <c r="AOH60" s="14"/>
      <c r="AOI60" s="14"/>
      <c r="AOJ60" s="14"/>
      <c r="AOK60" s="54"/>
      <c r="AOL60" s="54"/>
      <c r="AOM60" s="54"/>
      <c r="AON60" s="54"/>
      <c r="AOO60" s="55"/>
      <c r="AOP60" s="55"/>
      <c r="AOQ60" s="58"/>
      <c r="AOR60" s="58"/>
      <c r="AOS60" s="58"/>
      <c r="AOT60" s="58"/>
      <c r="AOU60" s="58"/>
      <c r="AOV60" s="58"/>
      <c r="AOW60" s="58"/>
      <c r="AOX60" s="14"/>
      <c r="AOY60" s="14"/>
      <c r="AOZ60" s="14"/>
      <c r="APA60" s="14"/>
      <c r="APB60" s="54"/>
      <c r="APC60" s="54"/>
      <c r="APD60" s="54"/>
      <c r="APE60" s="54"/>
      <c r="APF60" s="55"/>
      <c r="APG60" s="55"/>
      <c r="APH60" s="58"/>
      <c r="API60" s="58"/>
      <c r="APJ60" s="58"/>
      <c r="APK60" s="58"/>
      <c r="APL60" s="58"/>
      <c r="APM60" s="58"/>
      <c r="APN60" s="58"/>
      <c r="APO60" s="14"/>
      <c r="APP60" s="14"/>
      <c r="APQ60" s="14"/>
      <c r="APR60" s="14"/>
      <c r="APS60" s="54"/>
      <c r="APT60" s="54"/>
      <c r="APU60" s="54"/>
      <c r="APV60" s="54"/>
      <c r="APW60" s="55"/>
      <c r="APX60" s="55"/>
      <c r="APY60" s="58"/>
      <c r="APZ60" s="58"/>
      <c r="AQA60" s="58"/>
      <c r="AQB60" s="58"/>
      <c r="AQC60" s="58"/>
      <c r="AQD60" s="58"/>
      <c r="AQE60" s="58"/>
      <c r="AQF60" s="14"/>
      <c r="AQG60" s="14"/>
      <c r="AQH60" s="14"/>
      <c r="AQI60" s="14"/>
      <c r="AQJ60" s="54"/>
      <c r="AQK60" s="54"/>
      <c r="AQL60" s="54"/>
      <c r="AQM60" s="54"/>
      <c r="AQN60" s="55"/>
      <c r="AQO60" s="55"/>
      <c r="AQP60" s="58"/>
      <c r="AQQ60" s="58"/>
      <c r="AQR60" s="58"/>
      <c r="AQS60" s="58"/>
      <c r="AQT60" s="58"/>
      <c r="AQU60" s="58"/>
      <c r="AQV60" s="58"/>
      <c r="AQW60" s="14"/>
      <c r="AQX60" s="14"/>
      <c r="AQY60" s="14"/>
      <c r="AQZ60" s="14"/>
      <c r="ARA60" s="54"/>
      <c r="ARB60" s="54"/>
      <c r="ARC60" s="54"/>
      <c r="ARD60" s="54"/>
      <c r="ARE60" s="55"/>
      <c r="ARF60" s="55"/>
      <c r="ARG60" s="58"/>
      <c r="ARH60" s="58"/>
      <c r="ARI60" s="58"/>
      <c r="ARJ60" s="58"/>
      <c r="ARK60" s="58"/>
      <c r="ARL60" s="58"/>
      <c r="ARM60" s="58"/>
      <c r="ARN60" s="14"/>
      <c r="ARO60" s="14"/>
      <c r="ARP60" s="14"/>
      <c r="ARQ60" s="14"/>
      <c r="ARR60" s="54"/>
      <c r="ARS60" s="54"/>
      <c r="ART60" s="54"/>
      <c r="ARU60" s="54"/>
      <c r="ARV60" s="55"/>
      <c r="ARW60" s="55"/>
      <c r="ARX60" s="58"/>
      <c r="ARY60" s="58"/>
      <c r="ARZ60" s="58"/>
      <c r="ASA60" s="58"/>
      <c r="ASB60" s="58"/>
      <c r="ASC60" s="58"/>
      <c r="ASD60" s="58"/>
      <c r="ASE60" s="14"/>
      <c r="ASF60" s="14"/>
      <c r="ASG60" s="14"/>
      <c r="ASH60" s="14"/>
      <c r="ASI60" s="54"/>
      <c r="ASJ60" s="54"/>
      <c r="ASK60" s="54"/>
      <c r="ASL60" s="54"/>
      <c r="ASM60" s="55"/>
      <c r="ASN60" s="55"/>
      <c r="ASO60" s="58"/>
      <c r="ASP60" s="58"/>
      <c r="ASQ60" s="58"/>
      <c r="ASR60" s="58"/>
      <c r="ASS60" s="58"/>
      <c r="AST60" s="58"/>
      <c r="ASU60" s="58"/>
      <c r="ASV60" s="14"/>
      <c r="ASW60" s="14"/>
      <c r="ASX60" s="14"/>
      <c r="ASY60" s="14"/>
      <c r="ASZ60" s="54"/>
      <c r="ATA60" s="54"/>
      <c r="ATB60" s="54"/>
      <c r="ATC60" s="54"/>
      <c r="ATD60" s="55"/>
      <c r="ATE60" s="55"/>
      <c r="ATF60" s="58"/>
      <c r="ATG60" s="58"/>
      <c r="ATH60" s="58"/>
      <c r="ATI60" s="58"/>
      <c r="ATJ60" s="58"/>
      <c r="ATK60" s="58"/>
      <c r="ATL60" s="58"/>
      <c r="ATM60" s="14"/>
      <c r="ATN60" s="14"/>
      <c r="ATO60" s="14"/>
      <c r="ATP60" s="14"/>
      <c r="ATQ60" s="54"/>
      <c r="ATR60" s="54"/>
      <c r="ATS60" s="54"/>
      <c r="ATT60" s="54"/>
      <c r="ATU60" s="55"/>
      <c r="ATV60" s="55"/>
      <c r="ATW60" s="58"/>
      <c r="ATX60" s="58"/>
      <c r="ATY60" s="58"/>
      <c r="ATZ60" s="58"/>
      <c r="AUA60" s="58"/>
      <c r="AUB60" s="58"/>
      <c r="AUC60" s="58"/>
      <c r="AUD60" s="14"/>
      <c r="AUE60" s="14"/>
      <c r="AUF60" s="14"/>
      <c r="AUG60" s="14"/>
      <c r="AUH60" s="54"/>
      <c r="AUI60" s="54"/>
      <c r="AUJ60" s="54"/>
      <c r="AUK60" s="54"/>
      <c r="AUL60" s="55"/>
      <c r="AUM60" s="55"/>
      <c r="AUN60" s="58"/>
      <c r="AUO60" s="58"/>
      <c r="AUP60" s="58"/>
      <c r="AUQ60" s="58"/>
      <c r="AUR60" s="58"/>
      <c r="AUS60" s="58"/>
      <c r="AUT60" s="58"/>
      <c r="AUU60" s="14"/>
      <c r="AUV60" s="14"/>
      <c r="AUW60" s="14"/>
      <c r="AUX60" s="14"/>
      <c r="AUY60" s="54"/>
      <c r="AUZ60" s="54"/>
      <c r="AVA60" s="54"/>
      <c r="AVB60" s="54"/>
      <c r="AVC60" s="55"/>
      <c r="AVD60" s="55"/>
      <c r="AVE60" s="58"/>
      <c r="AVF60" s="58"/>
      <c r="AVG60" s="58"/>
      <c r="AVH60" s="58"/>
      <c r="AVI60" s="58"/>
      <c r="AVJ60" s="58"/>
      <c r="AVK60" s="58"/>
      <c r="AVL60" s="14"/>
      <c r="AVM60" s="14"/>
      <c r="AVN60" s="14"/>
      <c r="AVO60" s="14"/>
      <c r="AVP60" s="54"/>
      <c r="AVQ60" s="54"/>
      <c r="AVR60" s="54"/>
      <c r="AVS60" s="54"/>
      <c r="AVT60" s="55"/>
      <c r="AVU60" s="55"/>
      <c r="AVV60" s="58"/>
      <c r="AVW60" s="58"/>
      <c r="AVX60" s="58"/>
      <c r="AVY60" s="58"/>
      <c r="AVZ60" s="58"/>
      <c r="AWA60" s="58"/>
      <c r="AWB60" s="58"/>
      <c r="AWC60" s="14"/>
      <c r="AWD60" s="14"/>
      <c r="AWE60" s="14"/>
      <c r="AWF60" s="14"/>
      <c r="AWG60" s="54"/>
      <c r="AWH60" s="54"/>
      <c r="AWI60" s="54"/>
      <c r="AWJ60" s="54"/>
      <c r="AWK60" s="55"/>
      <c r="AWL60" s="55"/>
      <c r="AWM60" s="58"/>
      <c r="AWN60" s="58"/>
      <c r="AWO60" s="58"/>
      <c r="AWP60" s="58"/>
      <c r="AWQ60" s="58"/>
      <c r="AWR60" s="58"/>
      <c r="AWS60" s="58"/>
      <c r="AWT60" s="14"/>
      <c r="AWU60" s="14"/>
      <c r="AWV60" s="14"/>
      <c r="AWW60" s="14"/>
      <c r="AWX60" s="54"/>
      <c r="AWY60" s="54"/>
      <c r="AWZ60" s="54"/>
      <c r="AXA60" s="54"/>
      <c r="AXB60" s="55"/>
      <c r="AXC60" s="55"/>
      <c r="AXD60" s="58"/>
      <c r="AXE60" s="58"/>
      <c r="AXF60" s="58"/>
      <c r="AXG60" s="58"/>
      <c r="AXH60" s="58"/>
      <c r="AXI60" s="58"/>
      <c r="AXJ60" s="58"/>
      <c r="AXK60" s="14"/>
      <c r="AXL60" s="14"/>
      <c r="AXM60" s="14"/>
      <c r="AXN60" s="14"/>
      <c r="AXO60" s="54"/>
      <c r="AXP60" s="54"/>
      <c r="AXQ60" s="54"/>
      <c r="AXR60" s="54"/>
      <c r="AXS60" s="55"/>
      <c r="AXT60" s="55"/>
      <c r="AXU60" s="58"/>
      <c r="AXV60" s="58"/>
      <c r="AXW60" s="58"/>
      <c r="AXX60" s="58"/>
      <c r="AXY60" s="58"/>
      <c r="AXZ60" s="58"/>
      <c r="AYA60" s="58"/>
      <c r="AYB60" s="14"/>
      <c r="AYC60" s="14"/>
      <c r="AYD60" s="14"/>
      <c r="AYE60" s="14"/>
      <c r="AYF60" s="54"/>
      <c r="AYG60" s="54"/>
      <c r="AYH60" s="54"/>
      <c r="AYI60" s="54"/>
      <c r="AYJ60" s="55"/>
      <c r="AYK60" s="55"/>
      <c r="AYL60" s="58"/>
      <c r="AYM60" s="58"/>
      <c r="AYN60" s="58"/>
      <c r="AYO60" s="58"/>
      <c r="AYP60" s="58"/>
      <c r="AYQ60" s="58"/>
      <c r="AYR60" s="58"/>
      <c r="AYS60" s="14"/>
      <c r="AYT60" s="14"/>
      <c r="AYU60" s="14"/>
      <c r="AYV60" s="14"/>
      <c r="AYW60" s="54"/>
      <c r="AYX60" s="54"/>
      <c r="AYY60" s="54"/>
      <c r="AYZ60" s="54"/>
      <c r="AZA60" s="55"/>
      <c r="AZB60" s="55"/>
      <c r="AZC60" s="58"/>
      <c r="AZD60" s="58"/>
      <c r="AZE60" s="58"/>
      <c r="AZF60" s="58"/>
      <c r="AZG60" s="58"/>
      <c r="AZH60" s="58"/>
      <c r="AZI60" s="58"/>
      <c r="AZJ60" s="14"/>
      <c r="AZK60" s="14"/>
      <c r="AZL60" s="14"/>
      <c r="AZM60" s="14"/>
      <c r="AZN60" s="54"/>
      <c r="AZO60" s="54"/>
      <c r="AZP60" s="54"/>
      <c r="AZQ60" s="54"/>
      <c r="AZR60" s="55"/>
      <c r="AZS60" s="55"/>
      <c r="AZT60" s="58"/>
      <c r="AZU60" s="58"/>
      <c r="AZV60" s="58"/>
      <c r="AZW60" s="58"/>
      <c r="AZX60" s="58"/>
      <c r="AZY60" s="58"/>
      <c r="AZZ60" s="58"/>
      <c r="BAA60" s="14"/>
      <c r="BAB60" s="14"/>
      <c r="BAC60" s="14"/>
      <c r="BAD60" s="14"/>
      <c r="BAE60" s="54"/>
      <c r="BAF60" s="54"/>
      <c r="BAG60" s="54"/>
      <c r="BAH60" s="54"/>
      <c r="BAI60" s="55"/>
      <c r="BAJ60" s="55"/>
      <c r="BAK60" s="58"/>
      <c r="BAL60" s="58"/>
      <c r="BAM60" s="58"/>
      <c r="BAN60" s="58"/>
      <c r="BAO60" s="58"/>
      <c r="BAP60" s="58"/>
      <c r="BAQ60" s="58"/>
      <c r="BAR60" s="14"/>
      <c r="BAS60" s="14"/>
      <c r="BAT60" s="14"/>
      <c r="BAU60" s="14"/>
      <c r="BAV60" s="54"/>
      <c r="BAW60" s="54"/>
      <c r="BAX60" s="54"/>
      <c r="BAY60" s="54"/>
      <c r="BAZ60" s="55"/>
      <c r="BBA60" s="55"/>
      <c r="BBB60" s="58"/>
      <c r="BBC60" s="58"/>
      <c r="BBD60" s="58"/>
      <c r="BBE60" s="58"/>
      <c r="BBF60" s="58"/>
      <c r="BBG60" s="58"/>
      <c r="BBH60" s="58"/>
      <c r="BBI60" s="14"/>
      <c r="BBJ60" s="14"/>
      <c r="BBK60" s="14"/>
      <c r="BBL60" s="14"/>
      <c r="BBM60" s="54"/>
      <c r="BBN60" s="54"/>
      <c r="BBO60" s="54"/>
      <c r="BBP60" s="54"/>
      <c r="BBQ60" s="55"/>
      <c r="BBR60" s="55"/>
      <c r="BBS60" s="58"/>
      <c r="BBT60" s="58"/>
      <c r="BBU60" s="58"/>
      <c r="BBV60" s="58"/>
      <c r="BBW60" s="58"/>
      <c r="BBX60" s="58"/>
      <c r="BBY60" s="58"/>
      <c r="BBZ60" s="14"/>
      <c r="BCA60" s="14"/>
      <c r="BCB60" s="14"/>
      <c r="BCC60" s="14"/>
      <c r="BCD60" s="54"/>
      <c r="BCE60" s="54"/>
      <c r="BCF60" s="54"/>
      <c r="BCG60" s="54"/>
      <c r="BCH60" s="55"/>
      <c r="BCI60" s="55"/>
      <c r="BCJ60" s="58"/>
      <c r="BCK60" s="58"/>
      <c r="BCL60" s="58"/>
      <c r="BCM60" s="58"/>
      <c r="BCN60" s="58"/>
      <c r="BCO60" s="58"/>
      <c r="BCP60" s="58"/>
      <c r="BCQ60" s="14"/>
      <c r="BCR60" s="14"/>
      <c r="BCS60" s="14"/>
      <c r="BCT60" s="14"/>
      <c r="BCU60" s="54"/>
      <c r="BCV60" s="54"/>
      <c r="BCW60" s="54"/>
      <c r="BCX60" s="54"/>
      <c r="BCY60" s="55"/>
      <c r="BCZ60" s="55"/>
      <c r="BDA60" s="58"/>
      <c r="BDB60" s="58"/>
      <c r="BDC60" s="58"/>
      <c r="BDD60" s="58"/>
      <c r="BDE60" s="58"/>
      <c r="BDF60" s="58"/>
      <c r="BDG60" s="58"/>
      <c r="BDH60" s="14"/>
      <c r="BDI60" s="14"/>
      <c r="BDJ60" s="14"/>
      <c r="BDK60" s="14"/>
      <c r="BDL60" s="54"/>
      <c r="BDM60" s="54"/>
      <c r="BDN60" s="54"/>
      <c r="BDO60" s="54"/>
      <c r="BDP60" s="55"/>
      <c r="BDQ60" s="55"/>
      <c r="BDR60" s="58"/>
      <c r="BDS60" s="58"/>
      <c r="BDT60" s="58"/>
      <c r="BDU60" s="58"/>
      <c r="BDV60" s="58"/>
      <c r="BDW60" s="58"/>
      <c r="BDX60" s="58"/>
      <c r="BDY60" s="14"/>
      <c r="BDZ60" s="14"/>
      <c r="BEA60" s="14"/>
      <c r="BEB60" s="14"/>
      <c r="BEC60" s="54"/>
      <c r="BED60" s="54"/>
      <c r="BEE60" s="54"/>
      <c r="BEF60" s="54"/>
      <c r="BEG60" s="55"/>
      <c r="BEH60" s="55"/>
      <c r="BEI60" s="58"/>
      <c r="BEJ60" s="58"/>
      <c r="BEK60" s="58"/>
      <c r="BEL60" s="58"/>
      <c r="BEM60" s="58"/>
      <c r="BEN60" s="58"/>
      <c r="BEO60" s="58"/>
      <c r="BEP60" s="14"/>
      <c r="BEQ60" s="14"/>
      <c r="BER60" s="14"/>
      <c r="BES60" s="14"/>
      <c r="BET60" s="54"/>
      <c r="BEU60" s="54"/>
      <c r="BEV60" s="54"/>
      <c r="BEW60" s="54"/>
      <c r="BEX60" s="55"/>
      <c r="BEY60" s="55"/>
      <c r="BEZ60" s="58"/>
      <c r="BFA60" s="58"/>
      <c r="BFB60" s="58"/>
      <c r="BFC60" s="58"/>
      <c r="BFD60" s="58"/>
      <c r="BFE60" s="58"/>
      <c r="BFF60" s="58"/>
      <c r="BFG60" s="14"/>
      <c r="BFH60" s="14"/>
      <c r="BFI60" s="14"/>
      <c r="BFJ60" s="14"/>
      <c r="BFK60" s="54"/>
      <c r="BFL60" s="54"/>
      <c r="BFM60" s="54"/>
      <c r="BFN60" s="54"/>
      <c r="BFO60" s="55"/>
      <c r="BFP60" s="55"/>
      <c r="BFQ60" s="58"/>
      <c r="BFR60" s="58"/>
      <c r="BFS60" s="58"/>
      <c r="BFT60" s="58"/>
      <c r="BFU60" s="58"/>
      <c r="BFV60" s="58"/>
      <c r="BFW60" s="58"/>
      <c r="BFX60" s="14"/>
      <c r="BFY60" s="14"/>
      <c r="BFZ60" s="14"/>
      <c r="BGA60" s="14"/>
      <c r="BGB60" s="54"/>
      <c r="BGC60" s="54"/>
      <c r="BGD60" s="54"/>
      <c r="BGE60" s="54"/>
      <c r="BGF60" s="55"/>
      <c r="BGG60" s="55"/>
      <c r="BGH60" s="58"/>
      <c r="BGI60" s="58"/>
      <c r="BGJ60" s="58"/>
      <c r="BGK60" s="58"/>
      <c r="BGL60" s="58"/>
      <c r="BGM60" s="58"/>
      <c r="BGN60" s="58"/>
      <c r="BGO60" s="14"/>
      <c r="BGP60" s="14"/>
      <c r="BGQ60" s="14"/>
      <c r="BGR60" s="14"/>
      <c r="BGS60" s="54"/>
      <c r="BGT60" s="54"/>
      <c r="BGU60" s="54"/>
      <c r="BGV60" s="54"/>
      <c r="BGW60" s="55"/>
      <c r="BGX60" s="55"/>
      <c r="BGY60" s="58"/>
      <c r="BGZ60" s="58"/>
      <c r="BHA60" s="58"/>
      <c r="BHB60" s="58"/>
      <c r="BHC60" s="58"/>
      <c r="BHD60" s="58"/>
      <c r="BHE60" s="58"/>
      <c r="BHF60" s="14"/>
      <c r="BHG60" s="14"/>
      <c r="BHH60" s="14"/>
      <c r="BHI60" s="14"/>
      <c r="BHJ60" s="54"/>
      <c r="BHK60" s="54"/>
      <c r="BHL60" s="54"/>
      <c r="BHM60" s="54"/>
      <c r="BHN60" s="55"/>
      <c r="BHO60" s="55"/>
      <c r="BHP60" s="58"/>
      <c r="BHQ60" s="58"/>
      <c r="BHR60" s="58"/>
      <c r="BHS60" s="58"/>
      <c r="BHT60" s="58"/>
      <c r="BHU60" s="58"/>
      <c r="BHV60" s="58"/>
      <c r="BHW60" s="14"/>
      <c r="BHX60" s="14"/>
      <c r="BHY60" s="14"/>
      <c r="BHZ60" s="14"/>
      <c r="BIA60" s="54"/>
      <c r="BIB60" s="54"/>
      <c r="BIC60" s="54"/>
      <c r="BID60" s="54"/>
      <c r="BIE60" s="55"/>
      <c r="BIF60" s="55"/>
      <c r="BIG60" s="58"/>
      <c r="BIH60" s="58"/>
      <c r="BII60" s="58"/>
      <c r="BIJ60" s="58"/>
      <c r="BIK60" s="58"/>
      <c r="BIL60" s="58"/>
      <c r="BIM60" s="58"/>
      <c r="BIN60" s="14"/>
      <c r="BIO60" s="14"/>
      <c r="BIP60" s="14"/>
      <c r="BIQ60" s="14"/>
      <c r="BIR60" s="54"/>
      <c r="BIS60" s="54"/>
      <c r="BIT60" s="54"/>
      <c r="BIU60" s="54"/>
      <c r="BIV60" s="55"/>
      <c r="BIW60" s="55"/>
      <c r="BIX60" s="58"/>
      <c r="BIY60" s="58"/>
      <c r="BIZ60" s="58"/>
      <c r="BJA60" s="58"/>
      <c r="BJB60" s="58"/>
      <c r="BJC60" s="58"/>
      <c r="BJD60" s="58"/>
      <c r="BJE60" s="14"/>
      <c r="BJF60" s="14"/>
      <c r="BJG60" s="14"/>
      <c r="BJH60" s="14"/>
      <c r="BJI60" s="54"/>
      <c r="BJJ60" s="54"/>
      <c r="BJK60" s="54"/>
      <c r="BJL60" s="54"/>
      <c r="BJM60" s="55"/>
      <c r="BJN60" s="55"/>
      <c r="BJO60" s="58"/>
      <c r="BJP60" s="58"/>
      <c r="BJQ60" s="58"/>
      <c r="BJR60" s="58"/>
      <c r="BJS60" s="58"/>
      <c r="BJT60" s="58"/>
      <c r="BJU60" s="58"/>
      <c r="BJV60" s="14"/>
      <c r="BJW60" s="14"/>
      <c r="BJX60" s="14"/>
      <c r="BJY60" s="14"/>
      <c r="BJZ60" s="54"/>
      <c r="BKA60" s="54"/>
      <c r="BKB60" s="54"/>
      <c r="BKC60" s="54"/>
      <c r="BKD60" s="55"/>
      <c r="BKE60" s="55"/>
      <c r="BKF60" s="58"/>
      <c r="BKG60" s="58"/>
      <c r="BKH60" s="58"/>
      <c r="BKI60" s="58"/>
      <c r="BKJ60" s="58"/>
      <c r="BKK60" s="58"/>
      <c r="BKL60" s="58"/>
      <c r="BKM60" s="14"/>
      <c r="BKN60" s="14"/>
      <c r="BKO60" s="14"/>
      <c r="BKP60" s="14"/>
      <c r="BKQ60" s="54"/>
      <c r="BKR60" s="54"/>
      <c r="BKS60" s="54"/>
      <c r="BKT60" s="54"/>
      <c r="BKU60" s="55"/>
      <c r="BKV60" s="55"/>
      <c r="BKW60" s="58"/>
      <c r="BKX60" s="58"/>
      <c r="BKY60" s="58"/>
      <c r="BKZ60" s="58"/>
      <c r="BLA60" s="58"/>
      <c r="BLB60" s="58"/>
      <c r="BLC60" s="58"/>
      <c r="BLD60" s="14"/>
      <c r="BLE60" s="14"/>
      <c r="BLF60" s="14"/>
      <c r="BLG60" s="14"/>
      <c r="BLH60" s="54"/>
      <c r="BLI60" s="54"/>
      <c r="BLJ60" s="54"/>
      <c r="BLK60" s="54"/>
      <c r="BLL60" s="55"/>
      <c r="BLM60" s="55"/>
      <c r="BLN60" s="58"/>
      <c r="BLO60" s="58"/>
      <c r="BLP60" s="58"/>
      <c r="BLQ60" s="58"/>
      <c r="BLR60" s="58"/>
      <c r="BLS60" s="58"/>
      <c r="BLT60" s="58"/>
      <c r="BLU60" s="14"/>
      <c r="BLV60" s="14"/>
      <c r="BLW60" s="14"/>
      <c r="BLX60" s="14"/>
      <c r="BLY60" s="54"/>
      <c r="BLZ60" s="54"/>
      <c r="BMA60" s="54"/>
      <c r="BMB60" s="54"/>
      <c r="BMC60" s="55"/>
      <c r="BMD60" s="55"/>
      <c r="BME60" s="58"/>
      <c r="BMF60" s="58"/>
      <c r="BMG60" s="58"/>
      <c r="BMH60" s="58"/>
      <c r="BMI60" s="58"/>
      <c r="BMJ60" s="58"/>
      <c r="BMK60" s="58"/>
      <c r="BML60" s="14"/>
      <c r="BMM60" s="14"/>
      <c r="BMN60" s="14"/>
      <c r="BMO60" s="14"/>
      <c r="BMP60" s="54"/>
      <c r="BMQ60" s="54"/>
      <c r="BMR60" s="54"/>
      <c r="BMS60" s="54"/>
      <c r="BMT60" s="55"/>
      <c r="BMU60" s="55"/>
      <c r="BMV60" s="58"/>
      <c r="BMW60" s="58"/>
      <c r="BMX60" s="58"/>
      <c r="BMY60" s="58"/>
      <c r="BMZ60" s="58"/>
      <c r="BNA60" s="58"/>
      <c r="BNB60" s="58"/>
      <c r="BNC60" s="14"/>
      <c r="BND60" s="14"/>
      <c r="BNE60" s="14"/>
      <c r="BNF60" s="14"/>
      <c r="BNG60" s="54"/>
      <c r="BNH60" s="54"/>
      <c r="BNI60" s="54"/>
      <c r="BNJ60" s="54"/>
      <c r="BNK60" s="55"/>
      <c r="BNL60" s="55"/>
      <c r="BNM60" s="58"/>
      <c r="BNN60" s="58"/>
      <c r="BNO60" s="58"/>
      <c r="BNP60" s="58"/>
      <c r="BNQ60" s="58"/>
      <c r="BNR60" s="58"/>
      <c r="BNS60" s="58"/>
      <c r="BNT60" s="14"/>
      <c r="BNU60" s="14"/>
      <c r="BNV60" s="14"/>
      <c r="BNW60" s="14"/>
      <c r="BNX60" s="54"/>
      <c r="BNY60" s="54"/>
      <c r="BNZ60" s="54"/>
      <c r="BOA60" s="54"/>
      <c r="BOB60" s="55"/>
      <c r="BOC60" s="55"/>
      <c r="BOD60" s="58"/>
      <c r="BOE60" s="58"/>
      <c r="BOF60" s="58"/>
      <c r="BOG60" s="58"/>
      <c r="BOH60" s="58"/>
      <c r="BOI60" s="58"/>
      <c r="BOJ60" s="58"/>
      <c r="BOK60" s="14"/>
      <c r="BOL60" s="14"/>
      <c r="BOM60" s="14"/>
      <c r="BON60" s="14"/>
      <c r="BOO60" s="54"/>
      <c r="BOP60" s="54"/>
      <c r="BOQ60" s="54"/>
      <c r="BOR60" s="54"/>
      <c r="BOS60" s="55"/>
      <c r="BOT60" s="55"/>
      <c r="BOU60" s="58"/>
      <c r="BOV60" s="58"/>
      <c r="BOW60" s="58"/>
      <c r="BOX60" s="58"/>
      <c r="BOY60" s="58"/>
      <c r="BOZ60" s="58"/>
      <c r="BPA60" s="58"/>
      <c r="BPB60" s="14"/>
      <c r="BPC60" s="14"/>
      <c r="BPD60" s="14"/>
      <c r="BPE60" s="14"/>
      <c r="BPF60" s="54"/>
      <c r="BPG60" s="54"/>
      <c r="BPH60" s="54"/>
      <c r="BPI60" s="54"/>
      <c r="BPJ60" s="55"/>
      <c r="BPK60" s="55"/>
      <c r="BPL60" s="58"/>
      <c r="BPM60" s="58"/>
      <c r="BPN60" s="58"/>
      <c r="BPO60" s="58"/>
      <c r="BPP60" s="58"/>
      <c r="BPQ60" s="58"/>
      <c r="BPR60" s="58"/>
      <c r="BPS60" s="14"/>
      <c r="BPT60" s="14"/>
      <c r="BPU60" s="14"/>
      <c r="BPV60" s="14"/>
      <c r="BPW60" s="54"/>
      <c r="BPX60" s="54"/>
      <c r="BPY60" s="54"/>
      <c r="BPZ60" s="54"/>
      <c r="BQA60" s="55"/>
      <c r="BQB60" s="55"/>
      <c r="BQC60" s="58"/>
      <c r="BQD60" s="58"/>
      <c r="BQE60" s="58"/>
      <c r="BQF60" s="58"/>
      <c r="BQG60" s="58"/>
      <c r="BQH60" s="58"/>
      <c r="BQI60" s="58"/>
      <c r="BQJ60" s="14"/>
      <c r="BQK60" s="14"/>
      <c r="BQL60" s="14"/>
      <c r="BQM60" s="14"/>
      <c r="BQN60" s="54"/>
      <c r="BQO60" s="54"/>
      <c r="BQP60" s="54"/>
      <c r="BQQ60" s="54"/>
      <c r="BQR60" s="55"/>
      <c r="BQS60" s="55"/>
      <c r="BQT60" s="58"/>
      <c r="BQU60" s="58"/>
      <c r="BQV60" s="58"/>
      <c r="BQW60" s="58"/>
      <c r="BQX60" s="58"/>
      <c r="BQY60" s="58"/>
      <c r="BQZ60" s="58"/>
      <c r="BRA60" s="14"/>
      <c r="BRB60" s="14"/>
      <c r="BRC60" s="14"/>
      <c r="BRD60" s="14"/>
      <c r="BRE60" s="54"/>
      <c r="BRF60" s="54"/>
      <c r="BRG60" s="54"/>
      <c r="BRH60" s="54"/>
      <c r="BRI60" s="55"/>
      <c r="BRJ60" s="55"/>
      <c r="BRK60" s="58"/>
      <c r="BRL60" s="58"/>
      <c r="BRM60" s="58"/>
      <c r="BRN60" s="58"/>
      <c r="BRO60" s="58"/>
      <c r="BRP60" s="58"/>
      <c r="BRQ60" s="58"/>
      <c r="BRR60" s="14"/>
      <c r="BRS60" s="14"/>
      <c r="BRT60" s="14"/>
      <c r="BRU60" s="14"/>
      <c r="BRV60" s="54"/>
      <c r="BRW60" s="54"/>
      <c r="BRX60" s="54"/>
      <c r="BRY60" s="54"/>
      <c r="BRZ60" s="55"/>
      <c r="BSA60" s="55"/>
      <c r="BSB60" s="58"/>
      <c r="BSC60" s="58"/>
      <c r="BSD60" s="58"/>
      <c r="BSE60" s="58"/>
      <c r="BSF60" s="58"/>
      <c r="BSG60" s="58"/>
      <c r="BSH60" s="58"/>
      <c r="BSI60" s="14"/>
      <c r="BSJ60" s="14"/>
      <c r="BSK60" s="14"/>
      <c r="BSL60" s="14"/>
      <c r="BSM60" s="54"/>
      <c r="BSN60" s="54"/>
      <c r="BSO60" s="54"/>
      <c r="BSP60" s="54"/>
      <c r="BSQ60" s="55"/>
      <c r="BSR60" s="55"/>
      <c r="BSS60" s="58"/>
      <c r="BST60" s="58"/>
      <c r="BSU60" s="58"/>
      <c r="BSV60" s="58"/>
      <c r="BSW60" s="58"/>
      <c r="BSX60" s="58"/>
      <c r="BSY60" s="58"/>
      <c r="BSZ60" s="14"/>
      <c r="BTA60" s="14"/>
      <c r="BTB60" s="14"/>
      <c r="BTC60" s="14"/>
      <c r="BTD60" s="54"/>
      <c r="BTE60" s="54"/>
      <c r="BTF60" s="54"/>
      <c r="BTG60" s="54"/>
      <c r="BTH60" s="55"/>
      <c r="BTI60" s="55"/>
      <c r="BTJ60" s="58"/>
      <c r="BTK60" s="58"/>
      <c r="BTL60" s="58"/>
      <c r="BTM60" s="58"/>
      <c r="BTN60" s="58"/>
      <c r="BTO60" s="58"/>
      <c r="BTP60" s="58"/>
      <c r="BTQ60" s="14"/>
      <c r="BTR60" s="14"/>
      <c r="BTS60" s="14"/>
      <c r="BTT60" s="14"/>
      <c r="BTU60" s="54"/>
      <c r="BTV60" s="54"/>
      <c r="BTW60" s="54"/>
      <c r="BTX60" s="54"/>
      <c r="BTY60" s="55"/>
      <c r="BTZ60" s="55"/>
      <c r="BUA60" s="58"/>
      <c r="BUB60" s="58"/>
      <c r="BUC60" s="58"/>
      <c r="BUD60" s="58"/>
      <c r="BUE60" s="58"/>
      <c r="BUF60" s="58"/>
      <c r="BUG60" s="58"/>
      <c r="BUH60" s="14"/>
      <c r="BUI60" s="14"/>
      <c r="BUJ60" s="14"/>
      <c r="BUK60" s="14"/>
      <c r="BUL60" s="54"/>
      <c r="BUM60" s="54"/>
      <c r="BUN60" s="54"/>
      <c r="BUO60" s="54"/>
      <c r="BUP60" s="55"/>
      <c r="BUQ60" s="55"/>
      <c r="BUR60" s="58"/>
      <c r="BUS60" s="58"/>
      <c r="BUT60" s="58"/>
      <c r="BUU60" s="58"/>
      <c r="BUV60" s="58"/>
      <c r="BUW60" s="58"/>
      <c r="BUX60" s="58"/>
      <c r="BUY60" s="14"/>
      <c r="BUZ60" s="14"/>
      <c r="BVA60" s="14"/>
      <c r="BVB60" s="14"/>
      <c r="BVC60" s="54"/>
      <c r="BVD60" s="54"/>
      <c r="BVE60" s="54"/>
      <c r="BVF60" s="54"/>
      <c r="BVG60" s="55"/>
      <c r="BVH60" s="55"/>
      <c r="BVI60" s="58"/>
      <c r="BVJ60" s="58"/>
      <c r="BVK60" s="58"/>
      <c r="BVL60" s="58"/>
      <c r="BVM60" s="58"/>
      <c r="BVN60" s="58"/>
      <c r="BVO60" s="58"/>
      <c r="BVP60" s="14"/>
      <c r="BVQ60" s="14"/>
      <c r="BVR60" s="14"/>
      <c r="BVS60" s="14"/>
      <c r="BVT60" s="54"/>
      <c r="BVU60" s="54"/>
      <c r="BVV60" s="54"/>
      <c r="BVW60" s="54"/>
      <c r="BVX60" s="55"/>
      <c r="BVY60" s="55"/>
      <c r="BVZ60" s="58"/>
      <c r="BWA60" s="58"/>
      <c r="BWB60" s="58"/>
      <c r="BWC60" s="58"/>
      <c r="BWD60" s="58"/>
      <c r="BWE60" s="58"/>
      <c r="BWF60" s="58"/>
      <c r="BWG60" s="14"/>
      <c r="BWH60" s="14"/>
      <c r="BWI60" s="14"/>
      <c r="BWJ60" s="14"/>
      <c r="BWK60" s="54"/>
      <c r="BWL60" s="54"/>
      <c r="BWM60" s="54"/>
      <c r="BWN60" s="54"/>
      <c r="BWO60" s="55"/>
      <c r="BWP60" s="55"/>
      <c r="BWQ60" s="58"/>
      <c r="BWR60" s="58"/>
      <c r="BWS60" s="58"/>
      <c r="BWT60" s="58"/>
      <c r="BWU60" s="58"/>
      <c r="BWV60" s="58"/>
      <c r="BWW60" s="58"/>
      <c r="BWX60" s="14"/>
      <c r="BWY60" s="14"/>
      <c r="BWZ60" s="14"/>
      <c r="BXA60" s="14"/>
      <c r="BXB60" s="54"/>
      <c r="BXC60" s="54"/>
      <c r="BXD60" s="54"/>
      <c r="BXE60" s="54"/>
      <c r="BXF60" s="55"/>
      <c r="BXG60" s="55"/>
      <c r="BXH60" s="58"/>
      <c r="BXI60" s="58"/>
      <c r="BXJ60" s="58"/>
      <c r="BXK60" s="58"/>
      <c r="BXL60" s="58"/>
      <c r="BXM60" s="58"/>
      <c r="BXN60" s="58"/>
      <c r="BXO60" s="14"/>
      <c r="BXP60" s="14"/>
      <c r="BXQ60" s="14"/>
      <c r="BXR60" s="14"/>
      <c r="BXS60" s="54"/>
      <c r="BXT60" s="54"/>
      <c r="BXU60" s="54"/>
      <c r="BXV60" s="54"/>
      <c r="BXW60" s="55"/>
      <c r="BXX60" s="55"/>
      <c r="BXY60" s="58"/>
      <c r="BXZ60" s="58"/>
      <c r="BYA60" s="58"/>
      <c r="BYB60" s="58"/>
      <c r="BYC60" s="58"/>
      <c r="BYD60" s="58"/>
      <c r="BYE60" s="58"/>
      <c r="BYF60" s="14"/>
      <c r="BYG60" s="14"/>
      <c r="BYH60" s="14"/>
      <c r="BYI60" s="14"/>
      <c r="BYJ60" s="54"/>
      <c r="BYK60" s="54"/>
      <c r="BYL60" s="54"/>
      <c r="BYM60" s="54"/>
      <c r="BYN60" s="55"/>
      <c r="BYO60" s="55"/>
      <c r="BYP60" s="58"/>
      <c r="BYQ60" s="58"/>
      <c r="BYR60" s="58"/>
      <c r="BYS60" s="58"/>
      <c r="BYT60" s="58"/>
      <c r="BYU60" s="58"/>
      <c r="BYV60" s="58"/>
      <c r="BYW60" s="14"/>
      <c r="BYX60" s="14"/>
      <c r="BYY60" s="14"/>
      <c r="BYZ60" s="14"/>
      <c r="BZA60" s="54"/>
      <c r="BZB60" s="54"/>
      <c r="BZC60" s="54"/>
      <c r="BZD60" s="54"/>
      <c r="BZE60" s="55"/>
      <c r="BZF60" s="55"/>
      <c r="BZG60" s="58"/>
      <c r="BZH60" s="58"/>
      <c r="BZI60" s="58"/>
      <c r="BZJ60" s="58"/>
      <c r="BZK60" s="58"/>
      <c r="BZL60" s="58"/>
      <c r="BZM60" s="58"/>
      <c r="BZN60" s="14"/>
      <c r="BZO60" s="14"/>
      <c r="BZP60" s="14"/>
      <c r="BZQ60" s="14"/>
      <c r="BZR60" s="54"/>
      <c r="BZS60" s="54"/>
      <c r="BZT60" s="54"/>
      <c r="BZU60" s="54"/>
      <c r="BZV60" s="55"/>
      <c r="BZW60" s="55"/>
      <c r="BZX60" s="58"/>
      <c r="BZY60" s="58"/>
      <c r="BZZ60" s="58"/>
      <c r="CAA60" s="58"/>
      <c r="CAB60" s="58"/>
      <c r="CAC60" s="58"/>
      <c r="CAD60" s="58"/>
      <c r="CAE60" s="14"/>
      <c r="CAF60" s="14"/>
      <c r="CAG60" s="14"/>
      <c r="CAH60" s="14"/>
      <c r="CAI60" s="54"/>
      <c r="CAJ60" s="54"/>
      <c r="CAK60" s="54"/>
      <c r="CAL60" s="54"/>
      <c r="CAM60" s="55"/>
      <c r="CAN60" s="55"/>
      <c r="CAO60" s="58"/>
      <c r="CAP60" s="58"/>
      <c r="CAQ60" s="58"/>
      <c r="CAR60" s="58"/>
      <c r="CAS60" s="58"/>
      <c r="CAT60" s="58"/>
      <c r="CAU60" s="58"/>
      <c r="CAV60" s="14"/>
      <c r="CAW60" s="14"/>
      <c r="CAX60" s="14"/>
      <c r="CAY60" s="14"/>
      <c r="CAZ60" s="54"/>
      <c r="CBA60" s="54"/>
      <c r="CBB60" s="54"/>
      <c r="CBC60" s="54"/>
      <c r="CBD60" s="55"/>
      <c r="CBE60" s="55"/>
      <c r="CBF60" s="58"/>
      <c r="CBG60" s="58"/>
      <c r="CBH60" s="58"/>
      <c r="CBI60" s="58"/>
      <c r="CBJ60" s="58"/>
      <c r="CBK60" s="58"/>
      <c r="CBL60" s="58"/>
      <c r="CBM60" s="14"/>
      <c r="CBN60" s="14"/>
      <c r="CBO60" s="14"/>
      <c r="CBP60" s="14"/>
      <c r="CBQ60" s="54"/>
      <c r="CBR60" s="54"/>
      <c r="CBS60" s="54"/>
      <c r="CBT60" s="54"/>
      <c r="CBU60" s="55"/>
      <c r="CBV60" s="55"/>
      <c r="CBW60" s="58"/>
      <c r="CBX60" s="58"/>
      <c r="CBY60" s="58"/>
      <c r="CBZ60" s="58"/>
      <c r="CCA60" s="58"/>
      <c r="CCB60" s="58"/>
      <c r="CCC60" s="58"/>
      <c r="CCD60" s="14"/>
      <c r="CCE60" s="14"/>
      <c r="CCF60" s="14"/>
      <c r="CCG60" s="14"/>
      <c r="CCH60" s="54"/>
      <c r="CCI60" s="54"/>
      <c r="CCJ60" s="54"/>
      <c r="CCK60" s="54"/>
      <c r="CCL60" s="55"/>
      <c r="CCM60" s="55"/>
      <c r="CCN60" s="58"/>
      <c r="CCO60" s="58"/>
      <c r="CCP60" s="58"/>
      <c r="CCQ60" s="58"/>
      <c r="CCR60" s="58"/>
      <c r="CCS60" s="58"/>
      <c r="CCT60" s="58"/>
      <c r="CCU60" s="14"/>
      <c r="CCV60" s="14"/>
      <c r="CCW60" s="14"/>
      <c r="CCX60" s="14"/>
      <c r="CCY60" s="54"/>
      <c r="CCZ60" s="54"/>
      <c r="CDA60" s="54"/>
      <c r="CDB60" s="54"/>
      <c r="CDC60" s="55"/>
      <c r="CDD60" s="55"/>
      <c r="CDE60" s="58"/>
      <c r="CDF60" s="58"/>
      <c r="CDG60" s="58"/>
      <c r="CDH60" s="58"/>
      <c r="CDI60" s="58"/>
      <c r="CDJ60" s="58"/>
      <c r="CDK60" s="58"/>
      <c r="CDL60" s="14"/>
      <c r="CDM60" s="14"/>
      <c r="CDN60" s="14"/>
      <c r="CDO60" s="14"/>
      <c r="CDP60" s="54"/>
      <c r="CDQ60" s="54"/>
      <c r="CDR60" s="54"/>
      <c r="CDS60" s="54"/>
      <c r="CDT60" s="55"/>
      <c r="CDU60" s="55"/>
      <c r="CDV60" s="58"/>
      <c r="CDW60" s="58"/>
      <c r="CDX60" s="58"/>
      <c r="CDY60" s="58"/>
      <c r="CDZ60" s="58"/>
      <c r="CEA60" s="58"/>
      <c r="CEB60" s="58"/>
      <c r="CEC60" s="14"/>
      <c r="CED60" s="14"/>
      <c r="CEE60" s="14"/>
      <c r="CEF60" s="14"/>
      <c r="CEG60" s="54"/>
      <c r="CEH60" s="54"/>
      <c r="CEI60" s="54"/>
      <c r="CEJ60" s="54"/>
      <c r="CEK60" s="55"/>
      <c r="CEL60" s="55"/>
      <c r="CEM60" s="58"/>
      <c r="CEN60" s="58"/>
      <c r="CEO60" s="58"/>
      <c r="CEP60" s="58"/>
      <c r="CEQ60" s="58"/>
      <c r="CER60" s="58"/>
      <c r="CES60" s="58"/>
      <c r="CET60" s="14"/>
      <c r="CEU60" s="14"/>
      <c r="CEV60" s="14"/>
      <c r="CEW60" s="14"/>
      <c r="CEX60" s="54"/>
      <c r="CEY60" s="54"/>
      <c r="CEZ60" s="54"/>
      <c r="CFA60" s="54"/>
      <c r="CFB60" s="55"/>
      <c r="CFC60" s="55"/>
      <c r="CFD60" s="58"/>
      <c r="CFE60" s="58"/>
      <c r="CFF60" s="58"/>
      <c r="CFG60" s="58"/>
      <c r="CFH60" s="58"/>
      <c r="CFI60" s="58"/>
      <c r="CFJ60" s="58"/>
      <c r="CFK60" s="14"/>
      <c r="CFL60" s="14"/>
      <c r="CFM60" s="14"/>
      <c r="CFN60" s="14"/>
      <c r="CFO60" s="54"/>
      <c r="CFP60" s="54"/>
      <c r="CFQ60" s="54"/>
      <c r="CFR60" s="54"/>
      <c r="CFS60" s="55"/>
      <c r="CFT60" s="55"/>
      <c r="CFU60" s="58"/>
      <c r="CFV60" s="58"/>
      <c r="CFW60" s="58"/>
      <c r="CFX60" s="58"/>
      <c r="CFY60" s="58"/>
      <c r="CFZ60" s="58"/>
      <c r="CGA60" s="58"/>
      <c r="CGB60" s="14"/>
      <c r="CGC60" s="14"/>
      <c r="CGD60" s="14"/>
      <c r="CGE60" s="14"/>
      <c r="CGF60" s="54"/>
      <c r="CGG60" s="54"/>
      <c r="CGH60" s="54"/>
      <c r="CGI60" s="54"/>
      <c r="CGJ60" s="55"/>
      <c r="CGK60" s="55"/>
      <c r="CGL60" s="58"/>
      <c r="CGM60" s="58"/>
      <c r="CGN60" s="58"/>
      <c r="CGO60" s="58"/>
      <c r="CGP60" s="58"/>
      <c r="CGQ60" s="58"/>
      <c r="CGR60" s="58"/>
      <c r="CGS60" s="14"/>
      <c r="CGT60" s="14"/>
      <c r="CGU60" s="14"/>
      <c r="CGV60" s="14"/>
      <c r="CGW60" s="54"/>
      <c r="CGX60" s="54"/>
      <c r="CGY60" s="54"/>
      <c r="CGZ60" s="54"/>
      <c r="CHA60" s="55"/>
      <c r="CHB60" s="55"/>
      <c r="CHC60" s="58"/>
      <c r="CHD60" s="58"/>
      <c r="CHE60" s="58"/>
      <c r="CHF60" s="58"/>
      <c r="CHG60" s="58"/>
      <c r="CHH60" s="58"/>
      <c r="CHI60" s="58"/>
      <c r="CHJ60" s="14"/>
      <c r="CHK60" s="14"/>
      <c r="CHL60" s="14"/>
      <c r="CHM60" s="14"/>
      <c r="CHN60" s="54"/>
      <c r="CHO60" s="54"/>
      <c r="CHP60" s="54"/>
      <c r="CHQ60" s="54"/>
      <c r="CHR60" s="55"/>
      <c r="CHS60" s="55"/>
      <c r="CHT60" s="58"/>
      <c r="CHU60" s="58"/>
      <c r="CHV60" s="58"/>
      <c r="CHW60" s="58"/>
      <c r="CHX60" s="58"/>
      <c r="CHY60" s="58"/>
      <c r="CHZ60" s="58"/>
      <c r="CIA60" s="14"/>
      <c r="CIB60" s="14"/>
      <c r="CIC60" s="14"/>
      <c r="CID60" s="14"/>
      <c r="CIE60" s="54"/>
      <c r="CIF60" s="54"/>
      <c r="CIG60" s="54"/>
      <c r="CIH60" s="54"/>
      <c r="CII60" s="55"/>
      <c r="CIJ60" s="55"/>
      <c r="CIK60" s="58"/>
      <c r="CIL60" s="58"/>
      <c r="CIM60" s="58"/>
      <c r="CIN60" s="58"/>
      <c r="CIO60" s="58"/>
      <c r="CIP60" s="58"/>
      <c r="CIQ60" s="58"/>
      <c r="CIR60" s="14"/>
      <c r="CIS60" s="14"/>
      <c r="CIT60" s="14"/>
      <c r="CIU60" s="14"/>
      <c r="CIV60" s="54"/>
      <c r="CIW60" s="54"/>
      <c r="CIX60" s="54"/>
      <c r="CIY60" s="54"/>
      <c r="CIZ60" s="55"/>
      <c r="CJA60" s="55"/>
      <c r="CJB60" s="58"/>
      <c r="CJC60" s="58"/>
      <c r="CJD60" s="58"/>
      <c r="CJE60" s="58"/>
      <c r="CJF60" s="58"/>
      <c r="CJG60" s="58"/>
      <c r="CJH60" s="58"/>
      <c r="CJI60" s="14"/>
      <c r="CJJ60" s="14"/>
      <c r="CJK60" s="14"/>
      <c r="CJL60" s="14"/>
      <c r="CJM60" s="54"/>
      <c r="CJN60" s="54"/>
      <c r="CJO60" s="54"/>
      <c r="CJP60" s="54"/>
      <c r="CJQ60" s="55"/>
      <c r="CJR60" s="55"/>
      <c r="CJS60" s="58"/>
      <c r="CJT60" s="58"/>
      <c r="CJU60" s="58"/>
      <c r="CJV60" s="58"/>
      <c r="CJW60" s="58"/>
      <c r="CJX60" s="58"/>
      <c r="CJY60" s="58"/>
      <c r="CJZ60" s="14"/>
      <c r="CKA60" s="14"/>
      <c r="CKB60" s="14"/>
      <c r="CKC60" s="14"/>
      <c r="CKD60" s="54"/>
      <c r="CKE60" s="54"/>
      <c r="CKF60" s="54"/>
      <c r="CKG60" s="54"/>
      <c r="CKH60" s="55"/>
      <c r="CKI60" s="55"/>
      <c r="CKJ60" s="58"/>
      <c r="CKK60" s="58"/>
      <c r="CKL60" s="58"/>
      <c r="CKM60" s="58"/>
      <c r="CKN60" s="58"/>
      <c r="CKO60" s="58"/>
      <c r="CKP60" s="58"/>
      <c r="CKQ60" s="14"/>
      <c r="CKR60" s="14"/>
      <c r="CKS60" s="14"/>
      <c r="CKT60" s="14"/>
      <c r="CKU60" s="54"/>
      <c r="CKV60" s="54"/>
      <c r="CKW60" s="54"/>
      <c r="CKX60" s="54"/>
      <c r="CKY60" s="55"/>
      <c r="CKZ60" s="55"/>
      <c r="CLA60" s="58"/>
      <c r="CLB60" s="58"/>
      <c r="CLC60" s="58"/>
      <c r="CLD60" s="58"/>
      <c r="CLE60" s="58"/>
      <c r="CLF60" s="58"/>
      <c r="CLG60" s="58"/>
      <c r="CLH60" s="14"/>
      <c r="CLI60" s="14"/>
      <c r="CLJ60" s="14"/>
      <c r="CLK60" s="14"/>
      <c r="CLL60" s="54"/>
      <c r="CLM60" s="54"/>
      <c r="CLN60" s="54"/>
      <c r="CLO60" s="54"/>
      <c r="CLP60" s="55"/>
      <c r="CLQ60" s="55"/>
      <c r="CLR60" s="58"/>
      <c r="CLS60" s="58"/>
      <c r="CLT60" s="58"/>
      <c r="CLU60" s="58"/>
      <c r="CLV60" s="58"/>
      <c r="CLW60" s="58"/>
      <c r="CLX60" s="58"/>
      <c r="CLY60" s="14"/>
      <c r="CLZ60" s="14"/>
      <c r="CMA60" s="14"/>
      <c r="CMB60" s="14"/>
      <c r="CMC60" s="54"/>
      <c r="CMD60" s="54"/>
      <c r="CME60" s="54"/>
      <c r="CMF60" s="54"/>
      <c r="CMG60" s="55"/>
      <c r="CMH60" s="55"/>
      <c r="CMI60" s="58"/>
      <c r="CMJ60" s="58"/>
      <c r="CMK60" s="58"/>
      <c r="CML60" s="58"/>
      <c r="CMM60" s="58"/>
      <c r="CMN60" s="58"/>
      <c r="CMO60" s="58"/>
      <c r="CMP60" s="14"/>
      <c r="CMQ60" s="14"/>
      <c r="CMR60" s="14"/>
      <c r="CMS60" s="14"/>
      <c r="CMT60" s="54"/>
      <c r="CMU60" s="54"/>
      <c r="CMV60" s="54"/>
      <c r="CMW60" s="54"/>
      <c r="CMX60" s="55"/>
      <c r="CMY60" s="55"/>
      <c r="CMZ60" s="58"/>
      <c r="CNA60" s="58"/>
      <c r="CNB60" s="58"/>
      <c r="CNC60" s="58"/>
      <c r="CND60" s="58"/>
      <c r="CNE60" s="58"/>
      <c r="CNF60" s="58"/>
      <c r="CNG60" s="14"/>
      <c r="CNH60" s="14"/>
      <c r="CNI60" s="14"/>
      <c r="CNJ60" s="14"/>
      <c r="CNK60" s="54"/>
      <c r="CNL60" s="54"/>
      <c r="CNM60" s="54"/>
      <c r="CNN60" s="54"/>
      <c r="CNO60" s="55"/>
      <c r="CNP60" s="55"/>
      <c r="CNQ60" s="58"/>
      <c r="CNR60" s="58"/>
      <c r="CNS60" s="58"/>
      <c r="CNT60" s="58"/>
      <c r="CNU60" s="58"/>
      <c r="CNV60" s="58"/>
      <c r="CNW60" s="58"/>
      <c r="CNX60" s="14"/>
      <c r="CNY60" s="14"/>
      <c r="CNZ60" s="14"/>
      <c r="COA60" s="14"/>
      <c r="COB60" s="54"/>
      <c r="COC60" s="54"/>
      <c r="COD60" s="54"/>
      <c r="COE60" s="54"/>
      <c r="COF60" s="55"/>
      <c r="COG60" s="55"/>
      <c r="COH60" s="58"/>
      <c r="COI60" s="58"/>
      <c r="COJ60" s="58"/>
      <c r="COK60" s="58"/>
      <c r="COL60" s="58"/>
      <c r="COM60" s="58"/>
      <c r="CON60" s="58"/>
      <c r="COO60" s="14"/>
      <c r="COP60" s="14"/>
      <c r="COQ60" s="14"/>
      <c r="COR60" s="14"/>
      <c r="COS60" s="54"/>
      <c r="COT60" s="54"/>
      <c r="COU60" s="54"/>
      <c r="COV60" s="54"/>
      <c r="COW60" s="55"/>
      <c r="COX60" s="55"/>
      <c r="COY60" s="58"/>
      <c r="COZ60" s="58"/>
      <c r="CPA60" s="58"/>
      <c r="CPB60" s="58"/>
      <c r="CPC60" s="58"/>
      <c r="CPD60" s="58"/>
      <c r="CPE60" s="58"/>
      <c r="CPF60" s="14"/>
      <c r="CPG60" s="14"/>
      <c r="CPH60" s="14"/>
      <c r="CPI60" s="14"/>
      <c r="CPJ60" s="54"/>
      <c r="CPK60" s="54"/>
      <c r="CPL60" s="54"/>
      <c r="CPM60" s="54"/>
      <c r="CPN60" s="55"/>
      <c r="CPO60" s="55"/>
      <c r="CPP60" s="58"/>
      <c r="CPQ60" s="58"/>
      <c r="CPR60" s="58"/>
      <c r="CPS60" s="58"/>
      <c r="CPT60" s="58"/>
      <c r="CPU60" s="58"/>
      <c r="CPV60" s="58"/>
      <c r="CPW60" s="14"/>
      <c r="CPX60" s="14"/>
      <c r="CPY60" s="14"/>
      <c r="CPZ60" s="14"/>
      <c r="CQA60" s="54"/>
      <c r="CQB60" s="54"/>
      <c r="CQC60" s="54"/>
      <c r="CQD60" s="54"/>
      <c r="CQE60" s="55"/>
      <c r="CQF60" s="55"/>
      <c r="CQG60" s="58"/>
      <c r="CQH60" s="58"/>
      <c r="CQI60" s="58"/>
      <c r="CQJ60" s="58"/>
      <c r="CQK60" s="58"/>
      <c r="CQL60" s="58"/>
      <c r="CQM60" s="58"/>
      <c r="CQN60" s="14"/>
      <c r="CQO60" s="14"/>
      <c r="CQP60" s="14"/>
      <c r="CQQ60" s="14"/>
      <c r="CQR60" s="54"/>
      <c r="CQS60" s="54"/>
      <c r="CQT60" s="54"/>
      <c r="CQU60" s="54"/>
      <c r="CQV60" s="55"/>
      <c r="CQW60" s="55"/>
      <c r="CQX60" s="58"/>
      <c r="CQY60" s="58"/>
      <c r="CQZ60" s="58"/>
      <c r="CRA60" s="58"/>
      <c r="CRB60" s="58"/>
      <c r="CRC60" s="58"/>
      <c r="CRD60" s="58"/>
      <c r="CRE60" s="14"/>
      <c r="CRF60" s="14"/>
      <c r="CRG60" s="14"/>
      <c r="CRH60" s="14"/>
      <c r="CRI60" s="54"/>
      <c r="CRJ60" s="54"/>
      <c r="CRK60" s="54"/>
      <c r="CRL60" s="54"/>
      <c r="CRM60" s="55"/>
      <c r="CRN60" s="55"/>
      <c r="CRO60" s="58"/>
      <c r="CRP60" s="58"/>
      <c r="CRQ60" s="58"/>
      <c r="CRR60" s="58"/>
      <c r="CRS60" s="58"/>
      <c r="CRT60" s="58"/>
      <c r="CRU60" s="58"/>
      <c r="CRV60" s="14"/>
      <c r="CRW60" s="14"/>
      <c r="CRX60" s="14"/>
      <c r="CRY60" s="14"/>
      <c r="CRZ60" s="54"/>
      <c r="CSA60" s="54"/>
      <c r="CSB60" s="54"/>
      <c r="CSC60" s="54"/>
      <c r="CSD60" s="55"/>
      <c r="CSE60" s="55"/>
      <c r="CSF60" s="58"/>
      <c r="CSG60" s="58"/>
      <c r="CSH60" s="58"/>
      <c r="CSI60" s="58"/>
      <c r="CSJ60" s="58"/>
      <c r="CSK60" s="58"/>
      <c r="CSL60" s="58"/>
      <c r="CSM60" s="14"/>
      <c r="CSN60" s="14"/>
      <c r="CSO60" s="14"/>
      <c r="CSP60" s="14"/>
      <c r="CSQ60" s="54"/>
      <c r="CSR60" s="54"/>
      <c r="CSS60" s="54"/>
      <c r="CST60" s="54"/>
      <c r="CSU60" s="55"/>
      <c r="CSV60" s="55"/>
      <c r="CSW60" s="58"/>
      <c r="CSX60" s="58"/>
      <c r="CSY60" s="58"/>
      <c r="CSZ60" s="58"/>
      <c r="CTA60" s="58"/>
      <c r="CTB60" s="58"/>
      <c r="CTC60" s="58"/>
      <c r="CTD60" s="14"/>
      <c r="CTE60" s="14"/>
      <c r="CTF60" s="14"/>
      <c r="CTG60" s="14"/>
      <c r="CTH60" s="54"/>
      <c r="CTI60" s="54"/>
      <c r="CTJ60" s="54"/>
      <c r="CTK60" s="54"/>
      <c r="CTL60" s="55"/>
      <c r="CTM60" s="55"/>
      <c r="CTN60" s="58"/>
      <c r="CTO60" s="58"/>
      <c r="CTP60" s="58"/>
      <c r="CTQ60" s="58"/>
      <c r="CTR60" s="58"/>
      <c r="CTS60" s="58"/>
      <c r="CTT60" s="58"/>
      <c r="CTU60" s="14"/>
      <c r="CTV60" s="14"/>
      <c r="CTW60" s="14"/>
      <c r="CTX60" s="14"/>
      <c r="CTY60" s="54"/>
      <c r="CTZ60" s="54"/>
      <c r="CUA60" s="54"/>
      <c r="CUB60" s="54"/>
      <c r="CUC60" s="55"/>
      <c r="CUD60" s="55"/>
      <c r="CUE60" s="58"/>
      <c r="CUF60" s="58"/>
      <c r="CUG60" s="58"/>
      <c r="CUH60" s="58"/>
      <c r="CUI60" s="58"/>
      <c r="CUJ60" s="58"/>
      <c r="CUK60" s="58"/>
      <c r="CUL60" s="14"/>
      <c r="CUM60" s="14"/>
      <c r="CUN60" s="14"/>
      <c r="CUO60" s="14"/>
      <c r="CUP60" s="54"/>
      <c r="CUQ60" s="54"/>
      <c r="CUR60" s="54"/>
      <c r="CUS60" s="54"/>
      <c r="CUT60" s="55"/>
      <c r="CUU60" s="55"/>
      <c r="CUV60" s="58"/>
      <c r="CUW60" s="58"/>
      <c r="CUX60" s="58"/>
      <c r="CUY60" s="58"/>
      <c r="CUZ60" s="58"/>
      <c r="CVA60" s="58"/>
      <c r="CVB60" s="58"/>
      <c r="CVC60" s="14"/>
      <c r="CVD60" s="14"/>
      <c r="CVE60" s="14"/>
      <c r="CVF60" s="14"/>
      <c r="CVG60" s="54"/>
      <c r="CVH60" s="54"/>
      <c r="CVI60" s="54"/>
      <c r="CVJ60" s="54"/>
      <c r="CVK60" s="55"/>
      <c r="CVL60" s="55"/>
      <c r="CVM60" s="58"/>
      <c r="CVN60" s="58"/>
      <c r="CVO60" s="58"/>
      <c r="CVP60" s="58"/>
      <c r="CVQ60" s="58"/>
      <c r="CVR60" s="58"/>
      <c r="CVS60" s="58"/>
      <c r="CVT60" s="14"/>
      <c r="CVU60" s="14"/>
      <c r="CVV60" s="14"/>
      <c r="CVW60" s="14"/>
      <c r="CVX60" s="54"/>
      <c r="CVY60" s="54"/>
      <c r="CVZ60" s="54"/>
      <c r="CWA60" s="54"/>
      <c r="CWB60" s="55"/>
      <c r="CWC60" s="55"/>
      <c r="CWD60" s="58"/>
      <c r="CWE60" s="58"/>
      <c r="CWF60" s="58"/>
      <c r="CWG60" s="58"/>
      <c r="CWH60" s="58"/>
      <c r="CWI60" s="58"/>
      <c r="CWJ60" s="58"/>
      <c r="CWK60" s="14"/>
      <c r="CWL60" s="14"/>
      <c r="CWM60" s="14"/>
      <c r="CWN60" s="14"/>
      <c r="CWO60" s="54"/>
      <c r="CWP60" s="54"/>
      <c r="CWQ60" s="54"/>
      <c r="CWR60" s="54"/>
      <c r="CWS60" s="55"/>
      <c r="CWT60" s="55"/>
      <c r="CWU60" s="58"/>
      <c r="CWV60" s="58"/>
      <c r="CWW60" s="58"/>
      <c r="CWX60" s="58"/>
      <c r="CWY60" s="58"/>
      <c r="CWZ60" s="58"/>
      <c r="CXA60" s="58"/>
      <c r="CXB60" s="14"/>
      <c r="CXC60" s="14"/>
      <c r="CXD60" s="14"/>
      <c r="CXE60" s="14"/>
      <c r="CXF60" s="54"/>
      <c r="CXG60" s="54"/>
      <c r="CXH60" s="54"/>
      <c r="CXI60" s="54"/>
      <c r="CXJ60" s="55"/>
      <c r="CXK60" s="55"/>
      <c r="CXL60" s="58"/>
      <c r="CXM60" s="58"/>
      <c r="CXN60" s="58"/>
      <c r="CXO60" s="58"/>
      <c r="CXP60" s="58"/>
      <c r="CXQ60" s="58"/>
      <c r="CXR60" s="58"/>
      <c r="CXS60" s="14"/>
      <c r="CXT60" s="14"/>
      <c r="CXU60" s="14"/>
      <c r="CXV60" s="14"/>
      <c r="CXW60" s="54"/>
      <c r="CXX60" s="54"/>
      <c r="CXY60" s="54"/>
      <c r="CXZ60" s="54"/>
      <c r="CYA60" s="55"/>
      <c r="CYB60" s="55"/>
      <c r="CYC60" s="58"/>
      <c r="CYD60" s="58"/>
      <c r="CYE60" s="58"/>
      <c r="CYF60" s="58"/>
      <c r="CYG60" s="58"/>
      <c r="CYH60" s="58"/>
      <c r="CYI60" s="58"/>
      <c r="CYJ60" s="14"/>
      <c r="CYK60" s="14"/>
      <c r="CYL60" s="14"/>
      <c r="CYM60" s="14"/>
      <c r="CYN60" s="54"/>
      <c r="CYO60" s="54"/>
      <c r="CYP60" s="54"/>
      <c r="CYQ60" s="54"/>
      <c r="CYR60" s="55"/>
      <c r="CYS60" s="55"/>
      <c r="CYT60" s="58"/>
      <c r="CYU60" s="58"/>
      <c r="CYV60" s="58"/>
      <c r="CYW60" s="58"/>
      <c r="CYX60" s="58"/>
      <c r="CYY60" s="58"/>
      <c r="CYZ60" s="58"/>
      <c r="CZA60" s="14"/>
      <c r="CZB60" s="14"/>
      <c r="CZC60" s="14"/>
      <c r="CZD60" s="14"/>
      <c r="CZE60" s="54"/>
      <c r="CZF60" s="54"/>
      <c r="CZG60" s="54"/>
      <c r="CZH60" s="54"/>
      <c r="CZI60" s="55"/>
      <c r="CZJ60" s="55"/>
      <c r="CZK60" s="58"/>
      <c r="CZL60" s="58"/>
      <c r="CZM60" s="58"/>
      <c r="CZN60" s="58"/>
      <c r="CZO60" s="58"/>
      <c r="CZP60" s="58"/>
      <c r="CZQ60" s="58"/>
      <c r="CZR60" s="14"/>
      <c r="CZS60" s="14"/>
      <c r="CZT60" s="14"/>
      <c r="CZU60" s="14"/>
      <c r="CZV60" s="54"/>
      <c r="CZW60" s="54"/>
      <c r="CZX60" s="54"/>
      <c r="CZY60" s="54"/>
      <c r="CZZ60" s="55"/>
      <c r="DAA60" s="55"/>
      <c r="DAB60" s="58"/>
      <c r="DAC60" s="58"/>
      <c r="DAD60" s="58"/>
      <c r="DAE60" s="58"/>
      <c r="DAF60" s="58"/>
      <c r="DAG60" s="58"/>
      <c r="DAH60" s="58"/>
      <c r="DAI60" s="14"/>
      <c r="DAJ60" s="14"/>
      <c r="DAK60" s="14"/>
      <c r="DAL60" s="14"/>
      <c r="DAM60" s="54"/>
      <c r="DAN60" s="54"/>
      <c r="DAO60" s="54"/>
      <c r="DAP60" s="54"/>
      <c r="DAQ60" s="55"/>
      <c r="DAR60" s="55"/>
      <c r="DAS60" s="58"/>
      <c r="DAT60" s="58"/>
      <c r="DAU60" s="58"/>
      <c r="DAV60" s="58"/>
      <c r="DAW60" s="58"/>
      <c r="DAX60" s="58"/>
      <c r="DAY60" s="58"/>
      <c r="DAZ60" s="14"/>
      <c r="DBA60" s="14"/>
      <c r="DBB60" s="14"/>
      <c r="DBC60" s="14"/>
      <c r="DBD60" s="54"/>
      <c r="DBE60" s="54"/>
      <c r="DBF60" s="54"/>
      <c r="DBG60" s="54"/>
      <c r="DBH60" s="55"/>
      <c r="DBI60" s="55"/>
      <c r="DBJ60" s="58"/>
      <c r="DBK60" s="58"/>
      <c r="DBL60" s="58"/>
      <c r="DBM60" s="58"/>
      <c r="DBN60" s="58"/>
      <c r="DBO60" s="58"/>
      <c r="DBP60" s="58"/>
      <c r="DBQ60" s="14"/>
      <c r="DBR60" s="14"/>
      <c r="DBS60" s="14"/>
      <c r="DBT60" s="14"/>
      <c r="DBU60" s="54"/>
      <c r="DBV60" s="54"/>
      <c r="DBW60" s="54"/>
      <c r="DBX60" s="54"/>
      <c r="DBY60" s="55"/>
      <c r="DBZ60" s="55"/>
      <c r="DCA60" s="58"/>
      <c r="DCB60" s="58"/>
      <c r="DCC60" s="58"/>
      <c r="DCD60" s="58"/>
      <c r="DCE60" s="58"/>
      <c r="DCF60" s="58"/>
      <c r="DCG60" s="58"/>
      <c r="DCH60" s="14"/>
      <c r="DCI60" s="14"/>
      <c r="DCJ60" s="14"/>
      <c r="DCK60" s="14"/>
      <c r="DCL60" s="54"/>
      <c r="DCM60" s="54"/>
      <c r="DCN60" s="54"/>
      <c r="DCO60" s="54"/>
      <c r="DCP60" s="55"/>
      <c r="DCQ60" s="55"/>
      <c r="DCR60" s="58"/>
      <c r="DCS60" s="58"/>
      <c r="DCT60" s="58"/>
      <c r="DCU60" s="58"/>
      <c r="DCV60" s="58"/>
      <c r="DCW60" s="58"/>
      <c r="DCX60" s="58"/>
      <c r="DCY60" s="14"/>
      <c r="DCZ60" s="14"/>
      <c r="DDA60" s="14"/>
      <c r="DDB60" s="14"/>
      <c r="DDC60" s="54"/>
      <c r="DDD60" s="54"/>
      <c r="DDE60" s="54"/>
      <c r="DDF60" s="54"/>
      <c r="DDG60" s="55"/>
      <c r="DDH60" s="55"/>
      <c r="DDI60" s="58"/>
      <c r="DDJ60" s="58"/>
      <c r="DDK60" s="58"/>
      <c r="DDL60" s="58"/>
      <c r="DDM60" s="58"/>
      <c r="DDN60" s="58"/>
      <c r="DDO60" s="58"/>
      <c r="DDP60" s="14"/>
      <c r="DDQ60" s="14"/>
      <c r="DDR60" s="14"/>
      <c r="DDS60" s="14"/>
      <c r="DDT60" s="54"/>
      <c r="DDU60" s="54"/>
      <c r="DDV60" s="54"/>
      <c r="DDW60" s="54"/>
      <c r="DDX60" s="55"/>
      <c r="DDY60" s="55"/>
      <c r="DDZ60" s="58"/>
      <c r="DEA60" s="58"/>
      <c r="DEB60" s="58"/>
      <c r="DEC60" s="58"/>
      <c r="DED60" s="58"/>
      <c r="DEE60" s="58"/>
      <c r="DEF60" s="58"/>
      <c r="DEG60" s="14"/>
      <c r="DEH60" s="14"/>
      <c r="DEI60" s="14"/>
      <c r="DEJ60" s="14"/>
      <c r="DEK60" s="54"/>
      <c r="DEL60" s="54"/>
      <c r="DEM60" s="54"/>
      <c r="DEN60" s="54"/>
      <c r="DEO60" s="55"/>
      <c r="DEP60" s="55"/>
      <c r="DEQ60" s="58"/>
      <c r="DER60" s="58"/>
      <c r="DES60" s="58"/>
      <c r="DET60" s="58"/>
      <c r="DEU60" s="58"/>
      <c r="DEV60" s="58"/>
      <c r="DEW60" s="58"/>
      <c r="DEX60" s="14"/>
      <c r="DEY60" s="14"/>
      <c r="DEZ60" s="14"/>
      <c r="DFA60" s="14"/>
      <c r="DFB60" s="54"/>
      <c r="DFC60" s="54"/>
      <c r="DFD60" s="54"/>
      <c r="DFE60" s="54"/>
      <c r="DFF60" s="55"/>
      <c r="DFG60" s="55"/>
      <c r="DFH60" s="58"/>
      <c r="DFI60" s="58"/>
      <c r="DFJ60" s="58"/>
      <c r="DFK60" s="58"/>
      <c r="DFL60" s="58"/>
      <c r="DFM60" s="58"/>
      <c r="DFN60" s="58"/>
      <c r="DFO60" s="14"/>
      <c r="DFP60" s="14"/>
      <c r="DFQ60" s="14"/>
      <c r="DFR60" s="14"/>
      <c r="DFS60" s="54"/>
      <c r="DFT60" s="54"/>
      <c r="DFU60" s="54"/>
      <c r="DFV60" s="54"/>
      <c r="DFW60" s="55"/>
      <c r="DFX60" s="55"/>
      <c r="DFY60" s="58"/>
      <c r="DFZ60" s="58"/>
      <c r="DGA60" s="58"/>
      <c r="DGB60" s="58"/>
      <c r="DGC60" s="58"/>
      <c r="DGD60" s="58"/>
      <c r="DGE60" s="58"/>
      <c r="DGF60" s="14"/>
      <c r="DGG60" s="14"/>
      <c r="DGH60" s="14"/>
      <c r="DGI60" s="14"/>
      <c r="DGJ60" s="54"/>
      <c r="DGK60" s="54"/>
      <c r="DGL60" s="54"/>
      <c r="DGM60" s="54"/>
      <c r="DGN60" s="55"/>
      <c r="DGO60" s="55"/>
      <c r="DGP60" s="58"/>
      <c r="DGQ60" s="58"/>
      <c r="DGR60" s="58"/>
      <c r="DGS60" s="58"/>
      <c r="DGT60" s="58"/>
      <c r="DGU60" s="58"/>
      <c r="DGV60" s="58"/>
      <c r="DGW60" s="14"/>
      <c r="DGX60" s="14"/>
      <c r="DGY60" s="14"/>
      <c r="DGZ60" s="14"/>
      <c r="DHA60" s="54"/>
      <c r="DHB60" s="54"/>
      <c r="DHC60" s="54"/>
      <c r="DHD60" s="54"/>
      <c r="DHE60" s="55"/>
      <c r="DHF60" s="55"/>
      <c r="DHG60" s="58"/>
      <c r="DHH60" s="58"/>
      <c r="DHI60" s="58"/>
      <c r="DHJ60" s="58"/>
      <c r="DHK60" s="58"/>
      <c r="DHL60" s="58"/>
      <c r="DHM60" s="58"/>
      <c r="DHN60" s="14"/>
      <c r="DHO60" s="14"/>
      <c r="DHP60" s="14"/>
      <c r="DHQ60" s="14"/>
      <c r="DHR60" s="54"/>
      <c r="DHS60" s="54"/>
      <c r="DHT60" s="54"/>
      <c r="DHU60" s="54"/>
      <c r="DHV60" s="55"/>
      <c r="DHW60" s="55"/>
      <c r="DHX60" s="58"/>
      <c r="DHY60" s="58"/>
      <c r="DHZ60" s="58"/>
      <c r="DIA60" s="58"/>
      <c r="DIB60" s="58"/>
      <c r="DIC60" s="58"/>
      <c r="DID60" s="58"/>
      <c r="DIE60" s="14"/>
      <c r="DIF60" s="14"/>
      <c r="DIG60" s="14"/>
      <c r="DIH60" s="14"/>
      <c r="DII60" s="54"/>
      <c r="DIJ60" s="54"/>
      <c r="DIK60" s="54"/>
      <c r="DIL60" s="54"/>
      <c r="DIM60" s="55"/>
      <c r="DIN60" s="55"/>
      <c r="DIO60" s="58"/>
      <c r="DIP60" s="58"/>
      <c r="DIQ60" s="58"/>
      <c r="DIR60" s="58"/>
      <c r="DIS60" s="58"/>
      <c r="DIT60" s="58"/>
      <c r="DIU60" s="58"/>
      <c r="DIV60" s="14"/>
      <c r="DIW60" s="14"/>
      <c r="DIX60" s="14"/>
      <c r="DIY60" s="14"/>
      <c r="DIZ60" s="54"/>
      <c r="DJA60" s="54"/>
      <c r="DJB60" s="54"/>
      <c r="DJC60" s="54"/>
      <c r="DJD60" s="55"/>
      <c r="DJE60" s="55"/>
      <c r="DJF60" s="58"/>
      <c r="DJG60" s="58"/>
      <c r="DJH60" s="58"/>
      <c r="DJI60" s="58"/>
      <c r="DJJ60" s="58"/>
      <c r="DJK60" s="58"/>
      <c r="DJL60" s="58"/>
      <c r="DJM60" s="14"/>
      <c r="DJN60" s="14"/>
      <c r="DJO60" s="14"/>
      <c r="DJP60" s="14"/>
      <c r="DJQ60" s="54"/>
      <c r="DJR60" s="54"/>
      <c r="DJS60" s="54"/>
      <c r="DJT60" s="54"/>
      <c r="DJU60" s="55"/>
      <c r="DJV60" s="55"/>
      <c r="DJW60" s="58"/>
      <c r="DJX60" s="58"/>
      <c r="DJY60" s="58"/>
      <c r="DJZ60" s="58"/>
      <c r="DKA60" s="58"/>
      <c r="DKB60" s="58"/>
      <c r="DKC60" s="58"/>
      <c r="DKD60" s="14"/>
      <c r="DKE60" s="14"/>
      <c r="DKF60" s="14"/>
      <c r="DKG60" s="14"/>
      <c r="DKH60" s="54"/>
      <c r="DKI60" s="54"/>
      <c r="DKJ60" s="54"/>
      <c r="DKK60" s="54"/>
      <c r="DKL60" s="55"/>
      <c r="DKM60" s="55"/>
      <c r="DKN60" s="58"/>
      <c r="DKO60" s="58"/>
      <c r="DKP60" s="58"/>
      <c r="DKQ60" s="58"/>
      <c r="DKR60" s="58"/>
      <c r="DKS60" s="58"/>
      <c r="DKT60" s="58"/>
      <c r="DKU60" s="14"/>
      <c r="DKV60" s="14"/>
      <c r="DKW60" s="14"/>
      <c r="DKX60" s="14"/>
      <c r="DKY60" s="54"/>
      <c r="DKZ60" s="54"/>
      <c r="DLA60" s="54"/>
      <c r="DLB60" s="54"/>
      <c r="DLC60" s="55"/>
      <c r="DLD60" s="55"/>
      <c r="DLE60" s="58"/>
      <c r="DLF60" s="58"/>
      <c r="DLG60" s="58"/>
      <c r="DLH60" s="58"/>
      <c r="DLI60" s="58"/>
      <c r="DLJ60" s="58"/>
      <c r="DLK60" s="58"/>
      <c r="DLL60" s="14"/>
      <c r="DLM60" s="14"/>
      <c r="DLN60" s="14"/>
      <c r="DLO60" s="14"/>
      <c r="DLP60" s="54"/>
      <c r="DLQ60" s="54"/>
      <c r="DLR60" s="54"/>
      <c r="DLS60" s="54"/>
      <c r="DLT60" s="55"/>
      <c r="DLU60" s="55"/>
      <c r="DLV60" s="58"/>
      <c r="DLW60" s="58"/>
      <c r="DLX60" s="58"/>
      <c r="DLY60" s="58"/>
      <c r="DLZ60" s="58"/>
      <c r="DMA60" s="58"/>
      <c r="DMB60" s="58"/>
      <c r="DMC60" s="14"/>
      <c r="DMD60" s="14"/>
      <c r="DME60" s="14"/>
      <c r="DMF60" s="14"/>
      <c r="DMG60" s="54"/>
      <c r="DMH60" s="54"/>
      <c r="DMI60" s="54"/>
      <c r="DMJ60" s="54"/>
      <c r="DMK60" s="55"/>
      <c r="DML60" s="55"/>
      <c r="DMM60" s="58"/>
      <c r="DMN60" s="58"/>
      <c r="DMO60" s="58"/>
      <c r="DMP60" s="58"/>
      <c r="DMQ60" s="58"/>
      <c r="DMR60" s="58"/>
      <c r="DMS60" s="58"/>
      <c r="DMT60" s="14"/>
      <c r="DMU60" s="14"/>
      <c r="DMV60" s="14"/>
      <c r="DMW60" s="14"/>
      <c r="DMX60" s="54"/>
      <c r="DMY60" s="54"/>
      <c r="DMZ60" s="54"/>
      <c r="DNA60" s="54"/>
      <c r="DNB60" s="55"/>
      <c r="DNC60" s="55"/>
      <c r="DND60" s="58"/>
      <c r="DNE60" s="58"/>
      <c r="DNF60" s="58"/>
      <c r="DNG60" s="58"/>
      <c r="DNH60" s="58"/>
      <c r="DNI60" s="58"/>
      <c r="DNJ60" s="58"/>
      <c r="DNK60" s="14"/>
      <c r="DNL60" s="14"/>
      <c r="DNM60" s="14"/>
      <c r="DNN60" s="14"/>
      <c r="DNO60" s="54"/>
      <c r="DNP60" s="54"/>
      <c r="DNQ60" s="54"/>
      <c r="DNR60" s="54"/>
      <c r="DNS60" s="55"/>
      <c r="DNT60" s="55"/>
      <c r="DNU60" s="58"/>
      <c r="DNV60" s="58"/>
      <c r="DNW60" s="58"/>
      <c r="DNX60" s="58"/>
      <c r="DNY60" s="58"/>
      <c r="DNZ60" s="58"/>
      <c r="DOA60" s="58"/>
      <c r="DOB60" s="14"/>
      <c r="DOC60" s="14"/>
      <c r="DOD60" s="14"/>
      <c r="DOE60" s="14"/>
      <c r="DOF60" s="54"/>
      <c r="DOG60" s="54"/>
      <c r="DOH60" s="54"/>
      <c r="DOI60" s="54"/>
      <c r="DOJ60" s="55"/>
      <c r="DOK60" s="55"/>
      <c r="DOL60" s="58"/>
      <c r="DOM60" s="58"/>
      <c r="DON60" s="58"/>
      <c r="DOO60" s="58"/>
      <c r="DOP60" s="58"/>
      <c r="DOQ60" s="58"/>
      <c r="DOR60" s="58"/>
      <c r="DOS60" s="14"/>
      <c r="DOT60" s="14"/>
      <c r="DOU60" s="14"/>
      <c r="DOV60" s="14"/>
      <c r="DOW60" s="54"/>
      <c r="DOX60" s="54"/>
      <c r="DOY60" s="54"/>
      <c r="DOZ60" s="54"/>
      <c r="DPA60" s="55"/>
      <c r="DPB60" s="55"/>
      <c r="DPC60" s="58"/>
      <c r="DPD60" s="58"/>
      <c r="DPE60" s="58"/>
      <c r="DPF60" s="58"/>
      <c r="DPG60" s="58"/>
      <c r="DPH60" s="58"/>
      <c r="DPI60" s="58"/>
      <c r="DPJ60" s="14"/>
      <c r="DPK60" s="14"/>
      <c r="DPL60" s="14"/>
      <c r="DPM60" s="14"/>
      <c r="DPN60" s="54"/>
      <c r="DPO60" s="54"/>
      <c r="DPP60" s="54"/>
      <c r="DPQ60" s="54"/>
      <c r="DPR60" s="55"/>
      <c r="DPS60" s="55"/>
      <c r="DPT60" s="58"/>
      <c r="DPU60" s="58"/>
      <c r="DPV60" s="58"/>
      <c r="DPW60" s="58"/>
      <c r="DPX60" s="58"/>
      <c r="DPY60" s="58"/>
      <c r="DPZ60" s="58"/>
      <c r="DQA60" s="14"/>
      <c r="DQB60" s="14"/>
      <c r="DQC60" s="14"/>
      <c r="DQD60" s="14"/>
      <c r="DQE60" s="54"/>
      <c r="DQF60" s="54"/>
      <c r="DQG60" s="54"/>
      <c r="DQH60" s="54"/>
      <c r="DQI60" s="55"/>
      <c r="DQJ60" s="55"/>
      <c r="DQK60" s="58"/>
      <c r="DQL60" s="58"/>
      <c r="DQM60" s="58"/>
      <c r="DQN60" s="58"/>
      <c r="DQO60" s="58"/>
      <c r="DQP60" s="58"/>
      <c r="DQQ60" s="58"/>
      <c r="DQR60" s="14"/>
      <c r="DQS60" s="14"/>
      <c r="DQT60" s="14"/>
      <c r="DQU60" s="14"/>
      <c r="DQV60" s="54"/>
      <c r="DQW60" s="54"/>
      <c r="DQX60" s="54"/>
      <c r="DQY60" s="54"/>
      <c r="DQZ60" s="55"/>
      <c r="DRA60" s="55"/>
      <c r="DRB60" s="58"/>
      <c r="DRC60" s="58"/>
      <c r="DRD60" s="58"/>
      <c r="DRE60" s="58"/>
      <c r="DRF60" s="58"/>
      <c r="DRG60" s="58"/>
      <c r="DRH60" s="58"/>
      <c r="DRI60" s="14"/>
      <c r="DRJ60" s="14"/>
      <c r="DRK60" s="14"/>
      <c r="DRL60" s="14"/>
      <c r="DRM60" s="54"/>
      <c r="DRN60" s="54"/>
      <c r="DRO60" s="54"/>
      <c r="DRP60" s="54"/>
      <c r="DRQ60" s="55"/>
      <c r="DRR60" s="55"/>
      <c r="DRS60" s="58"/>
      <c r="DRT60" s="58"/>
      <c r="DRU60" s="58"/>
      <c r="DRV60" s="58"/>
      <c r="DRW60" s="58"/>
      <c r="DRX60" s="58"/>
      <c r="DRY60" s="58"/>
      <c r="DRZ60" s="14"/>
      <c r="DSA60" s="14"/>
      <c r="DSB60" s="14"/>
      <c r="DSC60" s="14"/>
      <c r="DSD60" s="54"/>
      <c r="DSE60" s="54"/>
      <c r="DSF60" s="54"/>
      <c r="DSG60" s="54"/>
      <c r="DSH60" s="55"/>
      <c r="DSI60" s="55"/>
      <c r="DSJ60" s="58"/>
      <c r="DSK60" s="58"/>
      <c r="DSL60" s="58"/>
      <c r="DSM60" s="58"/>
      <c r="DSN60" s="58"/>
      <c r="DSO60" s="58"/>
      <c r="DSP60" s="58"/>
      <c r="DSQ60" s="14"/>
      <c r="DSR60" s="14"/>
      <c r="DSS60" s="14"/>
      <c r="DST60" s="14"/>
      <c r="DSU60" s="54"/>
      <c r="DSV60" s="54"/>
      <c r="DSW60" s="54"/>
      <c r="DSX60" s="54"/>
      <c r="DSY60" s="55"/>
      <c r="DSZ60" s="55"/>
      <c r="DTA60" s="58"/>
      <c r="DTB60" s="58"/>
      <c r="DTC60" s="58"/>
      <c r="DTD60" s="58"/>
      <c r="DTE60" s="58"/>
      <c r="DTF60" s="58"/>
      <c r="DTG60" s="58"/>
      <c r="DTH60" s="14"/>
      <c r="DTI60" s="14"/>
      <c r="DTJ60" s="14"/>
      <c r="DTK60" s="14"/>
      <c r="DTL60" s="54"/>
      <c r="DTM60" s="54"/>
      <c r="DTN60" s="54"/>
      <c r="DTO60" s="54"/>
      <c r="DTP60" s="55"/>
      <c r="DTQ60" s="55"/>
      <c r="DTR60" s="58"/>
      <c r="DTS60" s="58"/>
      <c r="DTT60" s="58"/>
      <c r="DTU60" s="58"/>
      <c r="DTV60" s="58"/>
      <c r="DTW60" s="58"/>
      <c r="DTX60" s="58"/>
      <c r="DTY60" s="14"/>
      <c r="DTZ60" s="14"/>
      <c r="DUA60" s="14"/>
      <c r="DUB60" s="14"/>
      <c r="DUC60" s="54"/>
      <c r="DUD60" s="54"/>
      <c r="DUE60" s="54"/>
      <c r="DUF60" s="54"/>
      <c r="DUG60" s="55"/>
      <c r="DUH60" s="55"/>
      <c r="DUI60" s="58"/>
      <c r="DUJ60" s="58"/>
      <c r="DUK60" s="58"/>
      <c r="DUL60" s="58"/>
      <c r="DUM60" s="58"/>
      <c r="DUN60" s="58"/>
      <c r="DUO60" s="58"/>
      <c r="DUP60" s="14"/>
      <c r="DUQ60" s="14"/>
      <c r="DUR60" s="14"/>
      <c r="DUS60" s="14"/>
      <c r="DUT60" s="54"/>
      <c r="DUU60" s="54"/>
      <c r="DUV60" s="54"/>
      <c r="DUW60" s="54"/>
      <c r="DUX60" s="55"/>
      <c r="DUY60" s="55"/>
      <c r="DUZ60" s="58"/>
      <c r="DVA60" s="58"/>
      <c r="DVB60" s="58"/>
      <c r="DVC60" s="58"/>
      <c r="DVD60" s="58"/>
      <c r="DVE60" s="58"/>
      <c r="DVF60" s="58"/>
      <c r="DVG60" s="14"/>
      <c r="DVH60" s="14"/>
      <c r="DVI60" s="14"/>
      <c r="DVJ60" s="14"/>
      <c r="DVK60" s="54"/>
      <c r="DVL60" s="54"/>
      <c r="DVM60" s="54"/>
      <c r="DVN60" s="54"/>
      <c r="DVO60" s="55"/>
      <c r="DVP60" s="55"/>
      <c r="DVQ60" s="58"/>
      <c r="DVR60" s="58"/>
      <c r="DVS60" s="58"/>
      <c r="DVT60" s="58"/>
      <c r="DVU60" s="58"/>
      <c r="DVV60" s="58"/>
      <c r="DVW60" s="58"/>
      <c r="DVX60" s="14"/>
      <c r="DVY60" s="14"/>
      <c r="DVZ60" s="14"/>
      <c r="DWA60" s="14"/>
      <c r="DWB60" s="54"/>
      <c r="DWC60" s="54"/>
      <c r="DWD60" s="54"/>
      <c r="DWE60" s="54"/>
      <c r="DWF60" s="55"/>
      <c r="DWG60" s="55"/>
      <c r="DWH60" s="58"/>
      <c r="DWI60" s="58"/>
      <c r="DWJ60" s="58"/>
      <c r="DWK60" s="58"/>
      <c r="DWL60" s="58"/>
      <c r="DWM60" s="58"/>
      <c r="DWN60" s="58"/>
      <c r="DWO60" s="14"/>
      <c r="DWP60" s="14"/>
      <c r="DWQ60" s="14"/>
      <c r="DWR60" s="14"/>
      <c r="DWS60" s="54"/>
      <c r="DWT60" s="54"/>
      <c r="DWU60" s="54"/>
      <c r="DWV60" s="54"/>
      <c r="DWW60" s="55"/>
      <c r="DWX60" s="55"/>
      <c r="DWY60" s="58"/>
      <c r="DWZ60" s="58"/>
      <c r="DXA60" s="58"/>
      <c r="DXB60" s="58"/>
      <c r="DXC60" s="58"/>
      <c r="DXD60" s="58"/>
      <c r="DXE60" s="58"/>
      <c r="DXF60" s="14"/>
      <c r="DXG60" s="14"/>
      <c r="DXH60" s="14"/>
      <c r="DXI60" s="14"/>
      <c r="DXJ60" s="54"/>
      <c r="DXK60" s="54"/>
      <c r="DXL60" s="54"/>
      <c r="DXM60" s="54"/>
      <c r="DXN60" s="55"/>
      <c r="DXO60" s="55"/>
      <c r="DXP60" s="58"/>
      <c r="DXQ60" s="58"/>
      <c r="DXR60" s="58"/>
      <c r="DXS60" s="58"/>
      <c r="DXT60" s="58"/>
      <c r="DXU60" s="58"/>
      <c r="DXV60" s="58"/>
      <c r="DXW60" s="14"/>
      <c r="DXX60" s="14"/>
      <c r="DXY60" s="14"/>
      <c r="DXZ60" s="14"/>
      <c r="DYA60" s="54"/>
      <c r="DYB60" s="54"/>
      <c r="DYC60" s="54"/>
      <c r="DYD60" s="54"/>
      <c r="DYE60" s="55"/>
      <c r="DYF60" s="55"/>
      <c r="DYG60" s="58"/>
      <c r="DYH60" s="58"/>
      <c r="DYI60" s="58"/>
      <c r="DYJ60" s="58"/>
      <c r="DYK60" s="58"/>
      <c r="DYL60" s="58"/>
      <c r="DYM60" s="58"/>
      <c r="DYN60" s="14"/>
      <c r="DYO60" s="14"/>
      <c r="DYP60" s="14"/>
      <c r="DYQ60" s="14"/>
      <c r="DYR60" s="54"/>
      <c r="DYS60" s="54"/>
      <c r="DYT60" s="54"/>
      <c r="DYU60" s="54"/>
      <c r="DYV60" s="55"/>
      <c r="DYW60" s="55"/>
      <c r="DYX60" s="58"/>
      <c r="DYY60" s="58"/>
      <c r="DYZ60" s="58"/>
      <c r="DZA60" s="58"/>
      <c r="DZB60" s="58"/>
      <c r="DZC60" s="58"/>
      <c r="DZD60" s="58"/>
      <c r="DZE60" s="14"/>
      <c r="DZF60" s="14"/>
      <c r="DZG60" s="14"/>
      <c r="DZH60" s="14"/>
      <c r="DZI60" s="54"/>
      <c r="DZJ60" s="54"/>
      <c r="DZK60" s="54"/>
      <c r="DZL60" s="54"/>
      <c r="DZM60" s="55"/>
      <c r="DZN60" s="55"/>
      <c r="DZO60" s="58"/>
      <c r="DZP60" s="58"/>
      <c r="DZQ60" s="58"/>
      <c r="DZR60" s="58"/>
      <c r="DZS60" s="58"/>
      <c r="DZT60" s="58"/>
      <c r="DZU60" s="58"/>
      <c r="DZV60" s="14"/>
      <c r="DZW60" s="14"/>
      <c r="DZX60" s="14"/>
      <c r="DZY60" s="14"/>
      <c r="DZZ60" s="54"/>
      <c r="EAA60" s="54"/>
      <c r="EAB60" s="54"/>
      <c r="EAC60" s="54"/>
      <c r="EAD60" s="55"/>
      <c r="EAE60" s="55"/>
      <c r="EAF60" s="58"/>
      <c r="EAG60" s="58"/>
      <c r="EAH60" s="58"/>
      <c r="EAI60" s="58"/>
      <c r="EAJ60" s="58"/>
      <c r="EAK60" s="58"/>
      <c r="EAL60" s="58"/>
      <c r="EAM60" s="14"/>
      <c r="EAN60" s="14"/>
      <c r="EAO60" s="14"/>
      <c r="EAP60" s="14"/>
      <c r="EAQ60" s="54"/>
      <c r="EAR60" s="54"/>
      <c r="EAS60" s="54"/>
      <c r="EAT60" s="54"/>
      <c r="EAU60" s="55"/>
      <c r="EAV60" s="55"/>
      <c r="EAW60" s="58"/>
      <c r="EAX60" s="58"/>
      <c r="EAY60" s="58"/>
      <c r="EAZ60" s="58"/>
      <c r="EBA60" s="58"/>
      <c r="EBB60" s="58"/>
      <c r="EBC60" s="58"/>
      <c r="EBD60" s="14"/>
      <c r="EBE60" s="14"/>
      <c r="EBF60" s="14"/>
      <c r="EBG60" s="14"/>
      <c r="EBH60" s="54"/>
      <c r="EBI60" s="54"/>
      <c r="EBJ60" s="54"/>
      <c r="EBK60" s="54"/>
      <c r="EBL60" s="55"/>
      <c r="EBM60" s="55"/>
      <c r="EBN60" s="58"/>
      <c r="EBO60" s="58"/>
      <c r="EBP60" s="58"/>
      <c r="EBQ60" s="58"/>
      <c r="EBR60" s="58"/>
      <c r="EBS60" s="58"/>
      <c r="EBT60" s="58"/>
      <c r="EBU60" s="14"/>
      <c r="EBV60" s="14"/>
      <c r="EBW60" s="14"/>
      <c r="EBX60" s="14"/>
      <c r="EBY60" s="54"/>
      <c r="EBZ60" s="54"/>
      <c r="ECA60" s="54"/>
      <c r="ECB60" s="54"/>
      <c r="ECC60" s="55"/>
      <c r="ECD60" s="55"/>
      <c r="ECE60" s="58"/>
      <c r="ECF60" s="58"/>
      <c r="ECG60" s="58"/>
      <c r="ECH60" s="58"/>
      <c r="ECI60" s="58"/>
      <c r="ECJ60" s="58"/>
      <c r="ECK60" s="58"/>
      <c r="ECL60" s="14"/>
      <c r="ECM60" s="14"/>
      <c r="ECN60" s="14"/>
      <c r="ECO60" s="14"/>
      <c r="ECP60" s="54"/>
      <c r="ECQ60" s="54"/>
      <c r="ECR60" s="54"/>
      <c r="ECS60" s="54"/>
      <c r="ECT60" s="55"/>
      <c r="ECU60" s="55"/>
      <c r="ECV60" s="58"/>
      <c r="ECW60" s="58"/>
      <c r="ECX60" s="58"/>
      <c r="ECY60" s="58"/>
      <c r="ECZ60" s="58"/>
      <c r="EDA60" s="58"/>
      <c r="EDB60" s="58"/>
      <c r="EDC60" s="14"/>
      <c r="EDD60" s="14"/>
      <c r="EDE60" s="14"/>
      <c r="EDF60" s="14"/>
      <c r="EDG60" s="54"/>
      <c r="EDH60" s="54"/>
      <c r="EDI60" s="54"/>
      <c r="EDJ60" s="54"/>
      <c r="EDK60" s="55"/>
      <c r="EDL60" s="55"/>
      <c r="EDM60" s="58"/>
      <c r="EDN60" s="58"/>
      <c r="EDO60" s="58"/>
      <c r="EDP60" s="58"/>
      <c r="EDQ60" s="58"/>
      <c r="EDR60" s="58"/>
      <c r="EDS60" s="58"/>
      <c r="EDT60" s="14"/>
      <c r="EDU60" s="14"/>
      <c r="EDV60" s="14"/>
      <c r="EDW60" s="14"/>
      <c r="EDX60" s="54"/>
      <c r="EDY60" s="54"/>
      <c r="EDZ60" s="54"/>
      <c r="EEA60" s="54"/>
      <c r="EEB60" s="55"/>
      <c r="EEC60" s="55"/>
      <c r="EED60" s="58"/>
      <c r="EEE60" s="58"/>
      <c r="EEF60" s="58"/>
      <c r="EEG60" s="58"/>
      <c r="EEH60" s="58"/>
      <c r="EEI60" s="58"/>
      <c r="EEJ60" s="58"/>
      <c r="EEK60" s="14"/>
      <c r="EEL60" s="14"/>
      <c r="EEM60" s="14"/>
      <c r="EEN60" s="14"/>
      <c r="EEO60" s="54"/>
      <c r="EEP60" s="54"/>
      <c r="EEQ60" s="54"/>
      <c r="EER60" s="54"/>
      <c r="EES60" s="55"/>
      <c r="EET60" s="55"/>
      <c r="EEU60" s="58"/>
      <c r="EEV60" s="58"/>
      <c r="EEW60" s="58"/>
      <c r="EEX60" s="58"/>
      <c r="EEY60" s="58"/>
      <c r="EEZ60" s="58"/>
      <c r="EFA60" s="58"/>
      <c r="EFB60" s="14"/>
      <c r="EFC60" s="14"/>
      <c r="EFD60" s="14"/>
      <c r="EFE60" s="14"/>
      <c r="EFF60" s="54"/>
      <c r="EFG60" s="54"/>
      <c r="EFH60" s="54"/>
      <c r="EFI60" s="54"/>
      <c r="EFJ60" s="55"/>
      <c r="EFK60" s="55"/>
      <c r="EFL60" s="58"/>
      <c r="EFM60" s="58"/>
      <c r="EFN60" s="58"/>
      <c r="EFO60" s="58"/>
      <c r="EFP60" s="58"/>
      <c r="EFQ60" s="58"/>
      <c r="EFR60" s="58"/>
      <c r="EFS60" s="14"/>
      <c r="EFT60" s="14"/>
      <c r="EFU60" s="14"/>
      <c r="EFV60" s="14"/>
      <c r="EFW60" s="54"/>
      <c r="EFX60" s="54"/>
      <c r="EFY60" s="54"/>
      <c r="EFZ60" s="54"/>
      <c r="EGA60" s="55"/>
      <c r="EGB60" s="55"/>
      <c r="EGC60" s="58"/>
      <c r="EGD60" s="58"/>
      <c r="EGE60" s="58"/>
      <c r="EGF60" s="58"/>
      <c r="EGG60" s="58"/>
      <c r="EGH60" s="58"/>
      <c r="EGI60" s="58"/>
      <c r="EGJ60" s="14"/>
      <c r="EGK60" s="14"/>
      <c r="EGL60" s="14"/>
      <c r="EGM60" s="14"/>
      <c r="EGN60" s="54"/>
      <c r="EGO60" s="54"/>
      <c r="EGP60" s="54"/>
      <c r="EGQ60" s="54"/>
      <c r="EGR60" s="55"/>
      <c r="EGS60" s="55"/>
      <c r="EGT60" s="58"/>
      <c r="EGU60" s="58"/>
      <c r="EGV60" s="58"/>
      <c r="EGW60" s="58"/>
      <c r="EGX60" s="58"/>
      <c r="EGY60" s="58"/>
      <c r="EGZ60" s="58"/>
      <c r="EHA60" s="14"/>
      <c r="EHB60" s="14"/>
      <c r="EHC60" s="14"/>
      <c r="EHD60" s="14"/>
      <c r="EHE60" s="54"/>
      <c r="EHF60" s="54"/>
      <c r="EHG60" s="54"/>
      <c r="EHH60" s="54"/>
      <c r="EHI60" s="55"/>
      <c r="EHJ60" s="55"/>
      <c r="EHK60" s="58"/>
      <c r="EHL60" s="58"/>
      <c r="EHM60" s="58"/>
      <c r="EHN60" s="58"/>
      <c r="EHO60" s="58"/>
      <c r="EHP60" s="58"/>
      <c r="EHQ60" s="58"/>
      <c r="EHR60" s="14"/>
      <c r="EHS60" s="14"/>
      <c r="EHT60" s="14"/>
      <c r="EHU60" s="14"/>
      <c r="EHV60" s="54"/>
      <c r="EHW60" s="54"/>
      <c r="EHX60" s="54"/>
      <c r="EHY60" s="54"/>
      <c r="EHZ60" s="55"/>
      <c r="EIA60" s="55"/>
      <c r="EIB60" s="58"/>
      <c r="EIC60" s="58"/>
      <c r="EID60" s="58"/>
      <c r="EIE60" s="58"/>
      <c r="EIF60" s="58"/>
      <c r="EIG60" s="58"/>
      <c r="EIH60" s="58"/>
      <c r="EII60" s="14"/>
      <c r="EIJ60" s="14"/>
      <c r="EIK60" s="14"/>
      <c r="EIL60" s="14"/>
      <c r="EIM60" s="54"/>
      <c r="EIN60" s="54"/>
      <c r="EIO60" s="54"/>
      <c r="EIP60" s="54"/>
      <c r="EIQ60" s="55"/>
      <c r="EIR60" s="55"/>
      <c r="EIS60" s="58"/>
      <c r="EIT60" s="58"/>
      <c r="EIU60" s="58"/>
      <c r="EIV60" s="58"/>
      <c r="EIW60" s="58"/>
      <c r="EIX60" s="58"/>
      <c r="EIY60" s="58"/>
      <c r="EIZ60" s="14"/>
      <c r="EJA60" s="14"/>
      <c r="EJB60" s="14"/>
      <c r="EJC60" s="14"/>
      <c r="EJD60" s="54"/>
      <c r="EJE60" s="54"/>
      <c r="EJF60" s="54"/>
      <c r="EJG60" s="54"/>
      <c r="EJH60" s="55"/>
      <c r="EJI60" s="55"/>
      <c r="EJJ60" s="58"/>
      <c r="EJK60" s="58"/>
      <c r="EJL60" s="58"/>
      <c r="EJM60" s="58"/>
      <c r="EJN60" s="58"/>
      <c r="EJO60" s="58"/>
      <c r="EJP60" s="58"/>
      <c r="EJQ60" s="14"/>
      <c r="EJR60" s="14"/>
      <c r="EJS60" s="14"/>
      <c r="EJT60" s="14"/>
      <c r="EJU60" s="54"/>
      <c r="EJV60" s="54"/>
      <c r="EJW60" s="54"/>
      <c r="EJX60" s="54"/>
      <c r="EJY60" s="55"/>
      <c r="EJZ60" s="55"/>
      <c r="EKA60" s="58"/>
      <c r="EKB60" s="58"/>
      <c r="EKC60" s="58"/>
      <c r="EKD60" s="58"/>
      <c r="EKE60" s="58"/>
      <c r="EKF60" s="58"/>
      <c r="EKG60" s="58"/>
      <c r="EKH60" s="14"/>
      <c r="EKI60" s="14"/>
      <c r="EKJ60" s="14"/>
      <c r="EKK60" s="14"/>
      <c r="EKL60" s="54"/>
      <c r="EKM60" s="54"/>
      <c r="EKN60" s="54"/>
      <c r="EKO60" s="54"/>
      <c r="EKP60" s="55"/>
      <c r="EKQ60" s="55"/>
      <c r="EKR60" s="58"/>
      <c r="EKS60" s="58"/>
      <c r="EKT60" s="58"/>
      <c r="EKU60" s="58"/>
      <c r="EKV60" s="58"/>
      <c r="EKW60" s="58"/>
      <c r="EKX60" s="58"/>
      <c r="EKY60" s="14"/>
      <c r="EKZ60" s="14"/>
      <c r="ELA60" s="14"/>
      <c r="ELB60" s="14"/>
      <c r="ELC60" s="54"/>
      <c r="ELD60" s="54"/>
      <c r="ELE60" s="54"/>
      <c r="ELF60" s="54"/>
      <c r="ELG60" s="55"/>
      <c r="ELH60" s="55"/>
      <c r="ELI60" s="58"/>
      <c r="ELJ60" s="58"/>
      <c r="ELK60" s="58"/>
      <c r="ELL60" s="58"/>
      <c r="ELM60" s="58"/>
      <c r="ELN60" s="58"/>
      <c r="ELO60" s="58"/>
      <c r="ELP60" s="14"/>
      <c r="ELQ60" s="14"/>
      <c r="ELR60" s="14"/>
      <c r="ELS60" s="14"/>
      <c r="ELT60" s="54"/>
      <c r="ELU60" s="54"/>
      <c r="ELV60" s="54"/>
      <c r="ELW60" s="54"/>
      <c r="ELX60" s="55"/>
      <c r="ELY60" s="55"/>
      <c r="ELZ60" s="58"/>
      <c r="EMA60" s="58"/>
      <c r="EMB60" s="58"/>
      <c r="EMC60" s="58"/>
      <c r="EMD60" s="58"/>
      <c r="EME60" s="58"/>
      <c r="EMF60" s="58"/>
      <c r="EMG60" s="14"/>
      <c r="EMH60" s="14"/>
      <c r="EMI60" s="14"/>
      <c r="EMJ60" s="14"/>
      <c r="EMK60" s="54"/>
      <c r="EML60" s="54"/>
      <c r="EMM60" s="54"/>
      <c r="EMN60" s="54"/>
      <c r="EMO60" s="55"/>
      <c r="EMP60" s="55"/>
      <c r="EMQ60" s="58"/>
      <c r="EMR60" s="58"/>
      <c r="EMS60" s="58"/>
      <c r="EMT60" s="58"/>
      <c r="EMU60" s="58"/>
      <c r="EMV60" s="58"/>
      <c r="EMW60" s="58"/>
      <c r="EMX60" s="14"/>
      <c r="EMY60" s="14"/>
      <c r="EMZ60" s="14"/>
      <c r="ENA60" s="14"/>
      <c r="ENB60" s="54"/>
      <c r="ENC60" s="54"/>
      <c r="END60" s="54"/>
      <c r="ENE60" s="54"/>
      <c r="ENF60" s="55"/>
      <c r="ENG60" s="55"/>
      <c r="ENH60" s="58"/>
      <c r="ENI60" s="58"/>
      <c r="ENJ60" s="58"/>
      <c r="ENK60" s="58"/>
      <c r="ENL60" s="58"/>
      <c r="ENM60" s="58"/>
      <c r="ENN60" s="58"/>
      <c r="ENO60" s="14"/>
      <c r="ENP60" s="14"/>
      <c r="ENQ60" s="14"/>
      <c r="ENR60" s="14"/>
      <c r="ENS60" s="54"/>
      <c r="ENT60" s="54"/>
      <c r="ENU60" s="54"/>
      <c r="ENV60" s="54"/>
      <c r="ENW60" s="55"/>
      <c r="ENX60" s="55"/>
      <c r="ENY60" s="58"/>
      <c r="ENZ60" s="58"/>
      <c r="EOA60" s="58"/>
      <c r="EOB60" s="58"/>
      <c r="EOC60" s="58"/>
      <c r="EOD60" s="58"/>
      <c r="EOE60" s="58"/>
      <c r="EOF60" s="14"/>
      <c r="EOG60" s="14"/>
      <c r="EOH60" s="14"/>
      <c r="EOI60" s="14"/>
      <c r="EOJ60" s="54"/>
      <c r="EOK60" s="54"/>
      <c r="EOL60" s="54"/>
      <c r="EOM60" s="54"/>
      <c r="EON60" s="55"/>
      <c r="EOO60" s="55"/>
      <c r="EOP60" s="58"/>
      <c r="EOQ60" s="58"/>
      <c r="EOR60" s="58"/>
      <c r="EOS60" s="58"/>
      <c r="EOT60" s="58"/>
      <c r="EOU60" s="58"/>
      <c r="EOV60" s="58"/>
      <c r="EOW60" s="14"/>
      <c r="EOX60" s="14"/>
      <c r="EOY60" s="14"/>
      <c r="EOZ60" s="14"/>
      <c r="EPA60" s="54"/>
      <c r="EPB60" s="54"/>
      <c r="EPC60" s="54"/>
      <c r="EPD60" s="54"/>
      <c r="EPE60" s="55"/>
      <c r="EPF60" s="55"/>
      <c r="EPG60" s="58"/>
      <c r="EPH60" s="58"/>
      <c r="EPI60" s="58"/>
      <c r="EPJ60" s="58"/>
      <c r="EPK60" s="58"/>
      <c r="EPL60" s="58"/>
      <c r="EPM60" s="58"/>
      <c r="EPN60" s="14"/>
      <c r="EPO60" s="14"/>
      <c r="EPP60" s="14"/>
      <c r="EPQ60" s="14"/>
      <c r="EPR60" s="54"/>
      <c r="EPS60" s="54"/>
      <c r="EPT60" s="54"/>
      <c r="EPU60" s="54"/>
      <c r="EPV60" s="55"/>
      <c r="EPW60" s="55"/>
      <c r="EPX60" s="58"/>
      <c r="EPY60" s="58"/>
      <c r="EPZ60" s="58"/>
      <c r="EQA60" s="58"/>
      <c r="EQB60" s="58"/>
      <c r="EQC60" s="58"/>
      <c r="EQD60" s="58"/>
      <c r="EQE60" s="14"/>
      <c r="EQF60" s="14"/>
      <c r="EQG60" s="14"/>
      <c r="EQH60" s="14"/>
      <c r="EQI60" s="54"/>
      <c r="EQJ60" s="54"/>
      <c r="EQK60" s="54"/>
      <c r="EQL60" s="54"/>
      <c r="EQM60" s="55"/>
      <c r="EQN60" s="55"/>
      <c r="EQO60" s="58"/>
      <c r="EQP60" s="58"/>
      <c r="EQQ60" s="58"/>
      <c r="EQR60" s="58"/>
      <c r="EQS60" s="58"/>
      <c r="EQT60" s="58"/>
      <c r="EQU60" s="58"/>
      <c r="EQV60" s="14"/>
      <c r="EQW60" s="14"/>
      <c r="EQX60" s="14"/>
      <c r="EQY60" s="14"/>
      <c r="EQZ60" s="54"/>
      <c r="ERA60" s="54"/>
      <c r="ERB60" s="54"/>
      <c r="ERC60" s="54"/>
      <c r="ERD60" s="55"/>
      <c r="ERE60" s="55"/>
      <c r="ERF60" s="58"/>
      <c r="ERG60" s="58"/>
      <c r="ERH60" s="58"/>
      <c r="ERI60" s="58"/>
      <c r="ERJ60" s="58"/>
      <c r="ERK60" s="58"/>
      <c r="ERL60" s="58"/>
      <c r="ERM60" s="14"/>
      <c r="ERN60" s="14"/>
      <c r="ERO60" s="14"/>
      <c r="ERP60" s="14"/>
      <c r="ERQ60" s="54"/>
      <c r="ERR60" s="54"/>
      <c r="ERS60" s="54"/>
      <c r="ERT60" s="54"/>
      <c r="ERU60" s="55"/>
      <c r="ERV60" s="55"/>
      <c r="ERW60" s="58"/>
      <c r="ERX60" s="58"/>
      <c r="ERY60" s="58"/>
      <c r="ERZ60" s="58"/>
      <c r="ESA60" s="58"/>
      <c r="ESB60" s="58"/>
      <c r="ESC60" s="58"/>
      <c r="ESD60" s="14"/>
      <c r="ESE60" s="14"/>
      <c r="ESF60" s="14"/>
      <c r="ESG60" s="14"/>
      <c r="ESH60" s="54"/>
      <c r="ESI60" s="54"/>
      <c r="ESJ60" s="54"/>
      <c r="ESK60" s="54"/>
      <c r="ESL60" s="55"/>
      <c r="ESM60" s="55"/>
      <c r="ESN60" s="58"/>
      <c r="ESO60" s="58"/>
      <c r="ESP60" s="58"/>
      <c r="ESQ60" s="58"/>
      <c r="ESR60" s="58"/>
      <c r="ESS60" s="58"/>
      <c r="EST60" s="58"/>
      <c r="ESU60" s="14"/>
      <c r="ESV60" s="14"/>
      <c r="ESW60" s="14"/>
      <c r="ESX60" s="14"/>
      <c r="ESY60" s="54"/>
      <c r="ESZ60" s="54"/>
      <c r="ETA60" s="54"/>
      <c r="ETB60" s="54"/>
      <c r="ETC60" s="55"/>
      <c r="ETD60" s="55"/>
      <c r="ETE60" s="58"/>
      <c r="ETF60" s="58"/>
      <c r="ETG60" s="58"/>
      <c r="ETH60" s="58"/>
      <c r="ETI60" s="58"/>
      <c r="ETJ60" s="58"/>
      <c r="ETK60" s="58"/>
      <c r="ETL60" s="14"/>
      <c r="ETM60" s="14"/>
      <c r="ETN60" s="14"/>
      <c r="ETO60" s="14"/>
      <c r="ETP60" s="54"/>
      <c r="ETQ60" s="54"/>
      <c r="ETR60" s="54"/>
      <c r="ETS60" s="54"/>
      <c r="ETT60" s="55"/>
      <c r="ETU60" s="55"/>
      <c r="ETV60" s="58"/>
      <c r="ETW60" s="58"/>
      <c r="ETX60" s="58"/>
      <c r="ETY60" s="58"/>
      <c r="ETZ60" s="58"/>
      <c r="EUA60" s="58"/>
      <c r="EUB60" s="58"/>
      <c r="EUC60" s="14"/>
      <c r="EUD60" s="14"/>
      <c r="EUE60" s="14"/>
      <c r="EUF60" s="14"/>
      <c r="EUG60" s="54"/>
      <c r="EUH60" s="54"/>
      <c r="EUI60" s="54"/>
      <c r="EUJ60" s="54"/>
      <c r="EUK60" s="55"/>
      <c r="EUL60" s="55"/>
      <c r="EUM60" s="58"/>
      <c r="EUN60" s="58"/>
      <c r="EUO60" s="58"/>
      <c r="EUP60" s="58"/>
      <c r="EUQ60" s="58"/>
      <c r="EUR60" s="58"/>
      <c r="EUS60" s="58"/>
      <c r="EUT60" s="14"/>
      <c r="EUU60" s="14"/>
      <c r="EUV60" s="14"/>
      <c r="EUW60" s="14"/>
      <c r="EUX60" s="54"/>
      <c r="EUY60" s="54"/>
      <c r="EUZ60" s="54"/>
      <c r="EVA60" s="54"/>
      <c r="EVB60" s="55"/>
      <c r="EVC60" s="55"/>
      <c r="EVD60" s="58"/>
      <c r="EVE60" s="58"/>
      <c r="EVF60" s="58"/>
      <c r="EVG60" s="58"/>
      <c r="EVH60" s="58"/>
      <c r="EVI60" s="58"/>
      <c r="EVJ60" s="58"/>
      <c r="EVK60" s="14"/>
      <c r="EVL60" s="14"/>
      <c r="EVM60" s="14"/>
      <c r="EVN60" s="14"/>
      <c r="EVO60" s="54"/>
      <c r="EVP60" s="54"/>
      <c r="EVQ60" s="54"/>
      <c r="EVR60" s="54"/>
      <c r="EVS60" s="55"/>
      <c r="EVT60" s="55"/>
      <c r="EVU60" s="58"/>
      <c r="EVV60" s="58"/>
      <c r="EVW60" s="58"/>
      <c r="EVX60" s="58"/>
      <c r="EVY60" s="58"/>
      <c r="EVZ60" s="58"/>
      <c r="EWA60" s="58"/>
      <c r="EWB60" s="14"/>
      <c r="EWC60" s="14"/>
      <c r="EWD60" s="14"/>
      <c r="EWE60" s="14"/>
      <c r="EWF60" s="54"/>
      <c r="EWG60" s="54"/>
      <c r="EWH60" s="54"/>
      <c r="EWI60" s="54"/>
      <c r="EWJ60" s="55"/>
      <c r="EWK60" s="55"/>
      <c r="EWL60" s="58"/>
      <c r="EWM60" s="58"/>
      <c r="EWN60" s="58"/>
      <c r="EWO60" s="58"/>
      <c r="EWP60" s="58"/>
      <c r="EWQ60" s="58"/>
      <c r="EWR60" s="58"/>
      <c r="EWS60" s="14"/>
      <c r="EWT60" s="14"/>
      <c r="EWU60" s="14"/>
      <c r="EWV60" s="14"/>
      <c r="EWW60" s="54"/>
      <c r="EWX60" s="54"/>
      <c r="EWY60" s="54"/>
      <c r="EWZ60" s="54"/>
      <c r="EXA60" s="55"/>
      <c r="EXB60" s="55"/>
      <c r="EXC60" s="58"/>
      <c r="EXD60" s="58"/>
      <c r="EXE60" s="58"/>
      <c r="EXF60" s="58"/>
      <c r="EXG60" s="58"/>
      <c r="EXH60" s="58"/>
      <c r="EXI60" s="58"/>
      <c r="EXJ60" s="14"/>
      <c r="EXK60" s="14"/>
      <c r="EXL60" s="14"/>
      <c r="EXM60" s="14"/>
      <c r="EXN60" s="54"/>
      <c r="EXO60" s="54"/>
      <c r="EXP60" s="54"/>
      <c r="EXQ60" s="54"/>
      <c r="EXR60" s="55"/>
      <c r="EXS60" s="55"/>
      <c r="EXT60" s="58"/>
      <c r="EXU60" s="58"/>
      <c r="EXV60" s="58"/>
      <c r="EXW60" s="58"/>
      <c r="EXX60" s="58"/>
      <c r="EXY60" s="58"/>
      <c r="EXZ60" s="58"/>
      <c r="EYA60" s="14"/>
      <c r="EYB60" s="14"/>
      <c r="EYC60" s="14"/>
      <c r="EYD60" s="14"/>
      <c r="EYE60" s="54"/>
      <c r="EYF60" s="54"/>
      <c r="EYG60" s="54"/>
      <c r="EYH60" s="54"/>
      <c r="EYI60" s="55"/>
      <c r="EYJ60" s="55"/>
      <c r="EYK60" s="58"/>
      <c r="EYL60" s="58"/>
      <c r="EYM60" s="58"/>
      <c r="EYN60" s="58"/>
      <c r="EYO60" s="58"/>
      <c r="EYP60" s="58"/>
      <c r="EYQ60" s="58"/>
      <c r="EYR60" s="14"/>
      <c r="EYS60" s="14"/>
      <c r="EYT60" s="14"/>
      <c r="EYU60" s="14"/>
      <c r="EYV60" s="54"/>
      <c r="EYW60" s="54"/>
      <c r="EYX60" s="54"/>
      <c r="EYY60" s="54"/>
      <c r="EYZ60" s="55"/>
      <c r="EZA60" s="55"/>
      <c r="EZB60" s="58"/>
      <c r="EZC60" s="58"/>
      <c r="EZD60" s="58"/>
      <c r="EZE60" s="58"/>
      <c r="EZF60" s="58"/>
      <c r="EZG60" s="58"/>
      <c r="EZH60" s="58"/>
      <c r="EZI60" s="14"/>
      <c r="EZJ60" s="14"/>
      <c r="EZK60" s="14"/>
      <c r="EZL60" s="14"/>
      <c r="EZM60" s="54"/>
      <c r="EZN60" s="54"/>
      <c r="EZO60" s="54"/>
      <c r="EZP60" s="54"/>
      <c r="EZQ60" s="55"/>
      <c r="EZR60" s="55"/>
      <c r="EZS60" s="58"/>
      <c r="EZT60" s="58"/>
      <c r="EZU60" s="58"/>
      <c r="EZV60" s="58"/>
      <c r="EZW60" s="58"/>
      <c r="EZX60" s="58"/>
      <c r="EZY60" s="58"/>
      <c r="EZZ60" s="14"/>
      <c r="FAA60" s="14"/>
      <c r="FAB60" s="14"/>
      <c r="FAC60" s="14"/>
      <c r="FAD60" s="54"/>
      <c r="FAE60" s="54"/>
      <c r="FAF60" s="54"/>
      <c r="FAG60" s="54"/>
      <c r="FAH60" s="55"/>
      <c r="FAI60" s="55"/>
      <c r="FAJ60" s="58"/>
      <c r="FAK60" s="58"/>
      <c r="FAL60" s="58"/>
      <c r="FAM60" s="58"/>
      <c r="FAN60" s="58"/>
      <c r="FAO60" s="58"/>
      <c r="FAP60" s="58"/>
      <c r="FAQ60" s="14"/>
      <c r="FAR60" s="14"/>
      <c r="FAS60" s="14"/>
      <c r="FAT60" s="14"/>
      <c r="FAU60" s="54"/>
      <c r="FAV60" s="54"/>
      <c r="FAW60" s="54"/>
      <c r="FAX60" s="54"/>
      <c r="FAY60" s="55"/>
      <c r="FAZ60" s="55"/>
      <c r="FBA60" s="58"/>
      <c r="FBB60" s="58"/>
      <c r="FBC60" s="58"/>
      <c r="FBD60" s="58"/>
      <c r="FBE60" s="58"/>
      <c r="FBF60" s="58"/>
      <c r="FBG60" s="58"/>
      <c r="FBH60" s="14"/>
      <c r="FBI60" s="14"/>
      <c r="FBJ60" s="14"/>
      <c r="FBK60" s="14"/>
      <c r="FBL60" s="54"/>
      <c r="FBM60" s="54"/>
      <c r="FBN60" s="54"/>
      <c r="FBO60" s="54"/>
      <c r="FBP60" s="55"/>
      <c r="FBQ60" s="55"/>
      <c r="FBR60" s="58"/>
      <c r="FBS60" s="58"/>
      <c r="FBT60" s="58"/>
      <c r="FBU60" s="58"/>
      <c r="FBV60" s="58"/>
      <c r="FBW60" s="58"/>
      <c r="FBX60" s="58"/>
      <c r="FBY60" s="14"/>
      <c r="FBZ60" s="14"/>
      <c r="FCA60" s="14"/>
      <c r="FCB60" s="14"/>
      <c r="FCC60" s="54"/>
      <c r="FCD60" s="54"/>
      <c r="FCE60" s="54"/>
      <c r="FCF60" s="54"/>
      <c r="FCG60" s="55"/>
      <c r="FCH60" s="55"/>
      <c r="FCI60" s="58"/>
      <c r="FCJ60" s="58"/>
      <c r="FCK60" s="58"/>
      <c r="FCL60" s="58"/>
      <c r="FCM60" s="58"/>
      <c r="FCN60" s="58"/>
      <c r="FCO60" s="58"/>
      <c r="FCP60" s="14"/>
      <c r="FCQ60" s="14"/>
      <c r="FCR60" s="14"/>
      <c r="FCS60" s="14"/>
      <c r="FCT60" s="54"/>
      <c r="FCU60" s="54"/>
      <c r="FCV60" s="54"/>
      <c r="FCW60" s="54"/>
      <c r="FCX60" s="55"/>
      <c r="FCY60" s="55"/>
      <c r="FCZ60" s="58"/>
      <c r="FDA60" s="58"/>
      <c r="FDB60" s="58"/>
      <c r="FDC60" s="58"/>
      <c r="FDD60" s="58"/>
      <c r="FDE60" s="58"/>
      <c r="FDF60" s="58"/>
      <c r="FDG60" s="14"/>
      <c r="FDH60" s="14"/>
      <c r="FDI60" s="14"/>
      <c r="FDJ60" s="14"/>
      <c r="FDK60" s="54"/>
      <c r="FDL60" s="54"/>
      <c r="FDM60" s="54"/>
      <c r="FDN60" s="54"/>
      <c r="FDO60" s="55"/>
      <c r="FDP60" s="55"/>
      <c r="FDQ60" s="58"/>
      <c r="FDR60" s="58"/>
      <c r="FDS60" s="58"/>
      <c r="FDT60" s="58"/>
      <c r="FDU60" s="58"/>
      <c r="FDV60" s="58"/>
      <c r="FDW60" s="58"/>
      <c r="FDX60" s="14"/>
      <c r="FDY60" s="14"/>
      <c r="FDZ60" s="14"/>
      <c r="FEA60" s="14"/>
      <c r="FEB60" s="54"/>
      <c r="FEC60" s="54"/>
      <c r="FED60" s="54"/>
      <c r="FEE60" s="54"/>
      <c r="FEF60" s="55"/>
      <c r="FEG60" s="55"/>
      <c r="FEH60" s="58"/>
      <c r="FEI60" s="58"/>
      <c r="FEJ60" s="58"/>
      <c r="FEK60" s="58"/>
      <c r="FEL60" s="58"/>
      <c r="FEM60" s="58"/>
      <c r="FEN60" s="58"/>
      <c r="FEO60" s="14"/>
      <c r="FEP60" s="14"/>
      <c r="FEQ60" s="14"/>
      <c r="FER60" s="14"/>
      <c r="FES60" s="54"/>
      <c r="FET60" s="54"/>
      <c r="FEU60" s="54"/>
      <c r="FEV60" s="54"/>
      <c r="FEW60" s="55"/>
      <c r="FEX60" s="55"/>
      <c r="FEY60" s="58"/>
      <c r="FEZ60" s="58"/>
      <c r="FFA60" s="58"/>
      <c r="FFB60" s="58"/>
      <c r="FFC60" s="58"/>
      <c r="FFD60" s="58"/>
      <c r="FFE60" s="58"/>
      <c r="FFF60" s="14"/>
      <c r="FFG60" s="14"/>
      <c r="FFH60" s="14"/>
      <c r="FFI60" s="14"/>
      <c r="FFJ60" s="54"/>
      <c r="FFK60" s="54"/>
      <c r="FFL60" s="54"/>
      <c r="FFM60" s="54"/>
      <c r="FFN60" s="55"/>
      <c r="FFO60" s="55"/>
      <c r="FFP60" s="58"/>
      <c r="FFQ60" s="58"/>
      <c r="FFR60" s="58"/>
      <c r="FFS60" s="58"/>
      <c r="FFT60" s="58"/>
      <c r="FFU60" s="58"/>
      <c r="FFV60" s="58"/>
      <c r="FFW60" s="14"/>
      <c r="FFX60" s="14"/>
      <c r="FFY60" s="14"/>
      <c r="FFZ60" s="14"/>
      <c r="FGA60" s="54"/>
      <c r="FGB60" s="54"/>
      <c r="FGC60" s="54"/>
      <c r="FGD60" s="54"/>
      <c r="FGE60" s="55"/>
      <c r="FGF60" s="55"/>
      <c r="FGG60" s="58"/>
      <c r="FGH60" s="58"/>
      <c r="FGI60" s="58"/>
      <c r="FGJ60" s="58"/>
      <c r="FGK60" s="58"/>
      <c r="FGL60" s="58"/>
      <c r="FGM60" s="58"/>
      <c r="FGN60" s="14"/>
      <c r="FGO60" s="14"/>
      <c r="FGP60" s="14"/>
      <c r="FGQ60" s="14"/>
      <c r="FGR60" s="54"/>
      <c r="FGS60" s="54"/>
      <c r="FGT60" s="54"/>
      <c r="FGU60" s="54"/>
      <c r="FGV60" s="55"/>
      <c r="FGW60" s="55"/>
      <c r="FGX60" s="58"/>
      <c r="FGY60" s="58"/>
      <c r="FGZ60" s="58"/>
      <c r="FHA60" s="58"/>
      <c r="FHB60" s="58"/>
      <c r="FHC60" s="58"/>
      <c r="FHD60" s="58"/>
      <c r="FHE60" s="14"/>
      <c r="FHF60" s="14"/>
      <c r="FHG60" s="14"/>
      <c r="FHH60" s="14"/>
      <c r="FHI60" s="54"/>
      <c r="FHJ60" s="54"/>
      <c r="FHK60" s="54"/>
      <c r="FHL60" s="54"/>
      <c r="FHM60" s="55"/>
      <c r="FHN60" s="55"/>
      <c r="FHO60" s="58"/>
      <c r="FHP60" s="58"/>
      <c r="FHQ60" s="58"/>
      <c r="FHR60" s="58"/>
      <c r="FHS60" s="58"/>
      <c r="FHT60" s="58"/>
      <c r="FHU60" s="58"/>
      <c r="FHV60" s="14"/>
      <c r="FHW60" s="14"/>
      <c r="FHX60" s="14"/>
      <c r="FHY60" s="14"/>
      <c r="FHZ60" s="54"/>
      <c r="FIA60" s="54"/>
      <c r="FIB60" s="54"/>
      <c r="FIC60" s="54"/>
      <c r="FID60" s="55"/>
      <c r="FIE60" s="55"/>
      <c r="FIF60" s="58"/>
      <c r="FIG60" s="58"/>
      <c r="FIH60" s="58"/>
      <c r="FII60" s="58"/>
      <c r="FIJ60" s="58"/>
      <c r="FIK60" s="58"/>
      <c r="FIL60" s="58"/>
      <c r="FIM60" s="14"/>
      <c r="FIN60" s="14"/>
      <c r="FIO60" s="14"/>
      <c r="FIP60" s="14"/>
      <c r="FIQ60" s="54"/>
      <c r="FIR60" s="54"/>
      <c r="FIS60" s="54"/>
      <c r="FIT60" s="54"/>
      <c r="FIU60" s="55"/>
      <c r="FIV60" s="55"/>
      <c r="FIW60" s="58"/>
      <c r="FIX60" s="58"/>
      <c r="FIY60" s="58"/>
      <c r="FIZ60" s="58"/>
      <c r="FJA60" s="58"/>
      <c r="FJB60" s="58"/>
      <c r="FJC60" s="58"/>
      <c r="FJD60" s="14"/>
      <c r="FJE60" s="14"/>
      <c r="FJF60" s="14"/>
      <c r="FJG60" s="14"/>
      <c r="FJH60" s="54"/>
      <c r="FJI60" s="54"/>
      <c r="FJJ60" s="54"/>
      <c r="FJK60" s="54"/>
      <c r="FJL60" s="55"/>
      <c r="FJM60" s="55"/>
      <c r="FJN60" s="58"/>
      <c r="FJO60" s="58"/>
      <c r="FJP60" s="58"/>
      <c r="FJQ60" s="58"/>
      <c r="FJR60" s="58"/>
      <c r="FJS60" s="58"/>
      <c r="FJT60" s="58"/>
      <c r="FJU60" s="14"/>
      <c r="FJV60" s="14"/>
      <c r="FJW60" s="14"/>
      <c r="FJX60" s="14"/>
      <c r="FJY60" s="54"/>
      <c r="FJZ60" s="54"/>
      <c r="FKA60" s="54"/>
      <c r="FKB60" s="54"/>
      <c r="FKC60" s="55"/>
      <c r="FKD60" s="55"/>
      <c r="FKE60" s="58"/>
      <c r="FKF60" s="58"/>
      <c r="FKG60" s="58"/>
      <c r="FKH60" s="58"/>
      <c r="FKI60" s="58"/>
      <c r="FKJ60" s="58"/>
      <c r="FKK60" s="58"/>
      <c r="FKL60" s="14"/>
      <c r="FKM60" s="14"/>
      <c r="FKN60" s="14"/>
      <c r="FKO60" s="14"/>
      <c r="FKP60" s="54"/>
      <c r="FKQ60" s="54"/>
      <c r="FKR60" s="54"/>
      <c r="FKS60" s="54"/>
      <c r="FKT60" s="55"/>
      <c r="FKU60" s="55"/>
      <c r="FKV60" s="58"/>
      <c r="FKW60" s="58"/>
      <c r="FKX60" s="58"/>
      <c r="FKY60" s="58"/>
      <c r="FKZ60" s="58"/>
      <c r="FLA60" s="58"/>
      <c r="FLB60" s="58"/>
      <c r="FLC60" s="14"/>
      <c r="FLD60" s="14"/>
      <c r="FLE60" s="14"/>
      <c r="FLF60" s="14"/>
      <c r="FLG60" s="54"/>
      <c r="FLH60" s="54"/>
      <c r="FLI60" s="54"/>
      <c r="FLJ60" s="54"/>
      <c r="FLK60" s="55"/>
      <c r="FLL60" s="55"/>
      <c r="FLM60" s="58"/>
      <c r="FLN60" s="58"/>
      <c r="FLO60" s="58"/>
      <c r="FLP60" s="58"/>
      <c r="FLQ60" s="58"/>
      <c r="FLR60" s="58"/>
      <c r="FLS60" s="58"/>
      <c r="FLT60" s="14"/>
      <c r="FLU60" s="14"/>
      <c r="FLV60" s="14"/>
      <c r="FLW60" s="14"/>
      <c r="FLX60" s="54"/>
      <c r="FLY60" s="54"/>
      <c r="FLZ60" s="54"/>
      <c r="FMA60" s="54"/>
      <c r="FMB60" s="55"/>
      <c r="FMC60" s="55"/>
      <c r="FMD60" s="58"/>
      <c r="FME60" s="58"/>
      <c r="FMF60" s="58"/>
      <c r="FMG60" s="58"/>
      <c r="FMH60" s="58"/>
      <c r="FMI60" s="58"/>
      <c r="FMJ60" s="58"/>
      <c r="FMK60" s="14"/>
      <c r="FML60" s="14"/>
      <c r="FMM60" s="14"/>
      <c r="FMN60" s="14"/>
      <c r="FMO60" s="54"/>
      <c r="FMP60" s="54"/>
      <c r="FMQ60" s="54"/>
      <c r="FMR60" s="54"/>
      <c r="FMS60" s="55"/>
      <c r="FMT60" s="55"/>
      <c r="FMU60" s="58"/>
      <c r="FMV60" s="58"/>
      <c r="FMW60" s="58"/>
      <c r="FMX60" s="58"/>
      <c r="FMY60" s="58"/>
      <c r="FMZ60" s="58"/>
      <c r="FNA60" s="58"/>
      <c r="FNB60" s="14"/>
      <c r="FNC60" s="14"/>
      <c r="FND60" s="14"/>
      <c r="FNE60" s="14"/>
      <c r="FNF60" s="54"/>
      <c r="FNG60" s="54"/>
      <c r="FNH60" s="54"/>
      <c r="FNI60" s="54"/>
      <c r="FNJ60" s="55"/>
      <c r="FNK60" s="55"/>
      <c r="FNL60" s="58"/>
      <c r="FNM60" s="58"/>
      <c r="FNN60" s="58"/>
      <c r="FNO60" s="58"/>
      <c r="FNP60" s="58"/>
      <c r="FNQ60" s="58"/>
      <c r="FNR60" s="58"/>
      <c r="FNS60" s="14"/>
      <c r="FNT60" s="14"/>
      <c r="FNU60" s="14"/>
      <c r="FNV60" s="14"/>
      <c r="FNW60" s="54"/>
      <c r="FNX60" s="54"/>
      <c r="FNY60" s="54"/>
      <c r="FNZ60" s="54"/>
      <c r="FOA60" s="55"/>
      <c r="FOB60" s="55"/>
      <c r="FOC60" s="58"/>
      <c r="FOD60" s="58"/>
      <c r="FOE60" s="58"/>
      <c r="FOF60" s="58"/>
      <c r="FOG60" s="58"/>
      <c r="FOH60" s="58"/>
      <c r="FOI60" s="58"/>
      <c r="FOJ60" s="14"/>
      <c r="FOK60" s="14"/>
      <c r="FOL60" s="14"/>
      <c r="FOM60" s="14"/>
      <c r="FON60" s="54"/>
      <c r="FOO60" s="54"/>
      <c r="FOP60" s="54"/>
      <c r="FOQ60" s="54"/>
      <c r="FOR60" s="55"/>
      <c r="FOS60" s="55"/>
      <c r="FOT60" s="58"/>
      <c r="FOU60" s="58"/>
      <c r="FOV60" s="58"/>
      <c r="FOW60" s="58"/>
      <c r="FOX60" s="58"/>
      <c r="FOY60" s="58"/>
      <c r="FOZ60" s="58"/>
      <c r="FPA60" s="14"/>
      <c r="FPB60" s="14"/>
      <c r="FPC60" s="14"/>
      <c r="FPD60" s="14"/>
      <c r="FPE60" s="54"/>
      <c r="FPF60" s="54"/>
      <c r="FPG60" s="54"/>
      <c r="FPH60" s="54"/>
      <c r="FPI60" s="55"/>
      <c r="FPJ60" s="55"/>
      <c r="FPK60" s="58"/>
      <c r="FPL60" s="58"/>
      <c r="FPM60" s="58"/>
      <c r="FPN60" s="58"/>
      <c r="FPO60" s="58"/>
      <c r="FPP60" s="58"/>
      <c r="FPQ60" s="58"/>
      <c r="FPR60" s="14"/>
      <c r="FPS60" s="14"/>
      <c r="FPT60" s="14"/>
      <c r="FPU60" s="14"/>
      <c r="FPV60" s="54"/>
      <c r="FPW60" s="54"/>
      <c r="FPX60" s="54"/>
      <c r="FPY60" s="54"/>
      <c r="FPZ60" s="55"/>
      <c r="FQA60" s="55"/>
      <c r="FQB60" s="58"/>
      <c r="FQC60" s="58"/>
      <c r="FQD60" s="58"/>
      <c r="FQE60" s="58"/>
      <c r="FQF60" s="58"/>
      <c r="FQG60" s="58"/>
      <c r="FQH60" s="58"/>
      <c r="FQI60" s="14"/>
      <c r="FQJ60" s="14"/>
      <c r="FQK60" s="14"/>
      <c r="FQL60" s="14"/>
      <c r="FQM60" s="54"/>
      <c r="FQN60" s="54"/>
      <c r="FQO60" s="54"/>
      <c r="FQP60" s="54"/>
      <c r="FQQ60" s="55"/>
      <c r="FQR60" s="55"/>
      <c r="FQS60" s="58"/>
      <c r="FQT60" s="58"/>
      <c r="FQU60" s="58"/>
      <c r="FQV60" s="58"/>
      <c r="FQW60" s="58"/>
      <c r="FQX60" s="58"/>
      <c r="FQY60" s="58"/>
      <c r="FQZ60" s="14"/>
      <c r="FRA60" s="14"/>
      <c r="FRB60" s="14"/>
      <c r="FRC60" s="14"/>
      <c r="FRD60" s="54"/>
      <c r="FRE60" s="54"/>
      <c r="FRF60" s="54"/>
      <c r="FRG60" s="54"/>
      <c r="FRH60" s="55"/>
      <c r="FRI60" s="55"/>
      <c r="FRJ60" s="58"/>
      <c r="FRK60" s="58"/>
      <c r="FRL60" s="58"/>
      <c r="FRM60" s="58"/>
      <c r="FRN60" s="58"/>
      <c r="FRO60" s="58"/>
      <c r="FRP60" s="58"/>
      <c r="FRQ60" s="14"/>
      <c r="FRR60" s="14"/>
      <c r="FRS60" s="14"/>
      <c r="FRT60" s="14"/>
      <c r="FRU60" s="54"/>
      <c r="FRV60" s="54"/>
      <c r="FRW60" s="54"/>
      <c r="FRX60" s="54"/>
      <c r="FRY60" s="55"/>
      <c r="FRZ60" s="55"/>
      <c r="FSA60" s="58"/>
      <c r="FSB60" s="58"/>
      <c r="FSC60" s="58"/>
      <c r="FSD60" s="58"/>
      <c r="FSE60" s="58"/>
      <c r="FSF60" s="58"/>
      <c r="FSG60" s="58"/>
      <c r="FSH60" s="14"/>
      <c r="FSI60" s="14"/>
      <c r="FSJ60" s="14"/>
      <c r="FSK60" s="14"/>
      <c r="FSL60" s="54"/>
      <c r="FSM60" s="54"/>
      <c r="FSN60" s="54"/>
      <c r="FSO60" s="54"/>
      <c r="FSP60" s="55"/>
      <c r="FSQ60" s="55"/>
      <c r="FSR60" s="58"/>
      <c r="FSS60" s="58"/>
      <c r="FST60" s="58"/>
      <c r="FSU60" s="58"/>
      <c r="FSV60" s="58"/>
      <c r="FSW60" s="58"/>
      <c r="FSX60" s="58"/>
      <c r="FSY60" s="14"/>
      <c r="FSZ60" s="14"/>
      <c r="FTA60" s="14"/>
      <c r="FTB60" s="14"/>
      <c r="FTC60" s="54"/>
      <c r="FTD60" s="54"/>
      <c r="FTE60" s="54"/>
      <c r="FTF60" s="54"/>
      <c r="FTG60" s="55"/>
      <c r="FTH60" s="55"/>
      <c r="FTI60" s="58"/>
      <c r="FTJ60" s="58"/>
      <c r="FTK60" s="58"/>
      <c r="FTL60" s="58"/>
      <c r="FTM60" s="58"/>
      <c r="FTN60" s="58"/>
      <c r="FTO60" s="58"/>
      <c r="FTP60" s="14"/>
      <c r="FTQ60" s="14"/>
      <c r="FTR60" s="14"/>
      <c r="FTS60" s="14"/>
      <c r="FTT60" s="54"/>
      <c r="FTU60" s="54"/>
      <c r="FTV60" s="54"/>
      <c r="FTW60" s="54"/>
      <c r="FTX60" s="55"/>
      <c r="FTY60" s="55"/>
      <c r="FTZ60" s="58"/>
      <c r="FUA60" s="58"/>
      <c r="FUB60" s="58"/>
      <c r="FUC60" s="58"/>
      <c r="FUD60" s="58"/>
      <c r="FUE60" s="58"/>
      <c r="FUF60" s="58"/>
      <c r="FUG60" s="14"/>
      <c r="FUH60" s="14"/>
      <c r="FUI60" s="14"/>
      <c r="FUJ60" s="14"/>
      <c r="FUK60" s="54"/>
      <c r="FUL60" s="54"/>
      <c r="FUM60" s="54"/>
      <c r="FUN60" s="54"/>
      <c r="FUO60" s="55"/>
      <c r="FUP60" s="55"/>
      <c r="FUQ60" s="58"/>
      <c r="FUR60" s="58"/>
      <c r="FUS60" s="58"/>
      <c r="FUT60" s="58"/>
      <c r="FUU60" s="58"/>
      <c r="FUV60" s="58"/>
      <c r="FUW60" s="58"/>
      <c r="FUX60" s="14"/>
      <c r="FUY60" s="14"/>
      <c r="FUZ60" s="14"/>
      <c r="FVA60" s="14"/>
      <c r="FVB60" s="54"/>
      <c r="FVC60" s="54"/>
      <c r="FVD60" s="54"/>
      <c r="FVE60" s="54"/>
      <c r="FVF60" s="55"/>
      <c r="FVG60" s="55"/>
      <c r="FVH60" s="58"/>
      <c r="FVI60" s="58"/>
      <c r="FVJ60" s="58"/>
      <c r="FVK60" s="58"/>
      <c r="FVL60" s="58"/>
      <c r="FVM60" s="58"/>
      <c r="FVN60" s="58"/>
      <c r="FVO60" s="14"/>
      <c r="FVP60" s="14"/>
      <c r="FVQ60" s="14"/>
      <c r="FVR60" s="14"/>
      <c r="FVS60" s="54"/>
      <c r="FVT60" s="54"/>
      <c r="FVU60" s="54"/>
      <c r="FVV60" s="54"/>
      <c r="FVW60" s="55"/>
      <c r="FVX60" s="55"/>
      <c r="FVY60" s="58"/>
      <c r="FVZ60" s="58"/>
      <c r="FWA60" s="58"/>
      <c r="FWB60" s="58"/>
      <c r="FWC60" s="58"/>
      <c r="FWD60" s="58"/>
      <c r="FWE60" s="58"/>
      <c r="FWF60" s="14"/>
      <c r="FWG60" s="14"/>
      <c r="FWH60" s="14"/>
      <c r="FWI60" s="14"/>
      <c r="FWJ60" s="54"/>
      <c r="FWK60" s="54"/>
      <c r="FWL60" s="54"/>
      <c r="FWM60" s="54"/>
      <c r="FWN60" s="55"/>
      <c r="FWO60" s="55"/>
      <c r="FWP60" s="58"/>
      <c r="FWQ60" s="58"/>
      <c r="FWR60" s="58"/>
      <c r="FWS60" s="58"/>
      <c r="FWT60" s="58"/>
      <c r="FWU60" s="58"/>
      <c r="FWV60" s="58"/>
      <c r="FWW60" s="14"/>
      <c r="FWX60" s="14"/>
      <c r="FWY60" s="14"/>
      <c r="FWZ60" s="14"/>
      <c r="FXA60" s="54"/>
      <c r="FXB60" s="54"/>
      <c r="FXC60" s="54"/>
      <c r="FXD60" s="54"/>
      <c r="FXE60" s="55"/>
      <c r="FXF60" s="55"/>
      <c r="FXG60" s="58"/>
      <c r="FXH60" s="58"/>
      <c r="FXI60" s="58"/>
      <c r="FXJ60" s="58"/>
      <c r="FXK60" s="58"/>
      <c r="FXL60" s="58"/>
      <c r="FXM60" s="58"/>
      <c r="FXN60" s="14"/>
      <c r="FXO60" s="14"/>
      <c r="FXP60" s="14"/>
      <c r="FXQ60" s="14"/>
      <c r="FXR60" s="54"/>
      <c r="FXS60" s="54"/>
      <c r="FXT60" s="54"/>
      <c r="FXU60" s="54"/>
      <c r="FXV60" s="55"/>
      <c r="FXW60" s="55"/>
      <c r="FXX60" s="58"/>
      <c r="FXY60" s="58"/>
      <c r="FXZ60" s="58"/>
      <c r="FYA60" s="58"/>
      <c r="FYB60" s="58"/>
      <c r="FYC60" s="58"/>
      <c r="FYD60" s="58"/>
      <c r="FYE60" s="14"/>
      <c r="FYF60" s="14"/>
      <c r="FYG60" s="14"/>
      <c r="FYH60" s="14"/>
      <c r="FYI60" s="54"/>
      <c r="FYJ60" s="54"/>
      <c r="FYK60" s="54"/>
      <c r="FYL60" s="54"/>
      <c r="FYM60" s="55"/>
      <c r="FYN60" s="55"/>
      <c r="FYO60" s="58"/>
      <c r="FYP60" s="58"/>
      <c r="FYQ60" s="58"/>
      <c r="FYR60" s="58"/>
      <c r="FYS60" s="58"/>
      <c r="FYT60" s="58"/>
      <c r="FYU60" s="58"/>
      <c r="FYV60" s="14"/>
      <c r="FYW60" s="14"/>
      <c r="FYX60" s="14"/>
      <c r="FYY60" s="14"/>
      <c r="FYZ60" s="54"/>
      <c r="FZA60" s="54"/>
      <c r="FZB60" s="54"/>
      <c r="FZC60" s="54"/>
      <c r="FZD60" s="55"/>
      <c r="FZE60" s="55"/>
      <c r="FZF60" s="58"/>
      <c r="FZG60" s="58"/>
      <c r="FZH60" s="58"/>
      <c r="FZI60" s="58"/>
      <c r="FZJ60" s="58"/>
      <c r="FZK60" s="58"/>
      <c r="FZL60" s="58"/>
      <c r="FZM60" s="14"/>
      <c r="FZN60" s="14"/>
      <c r="FZO60" s="14"/>
      <c r="FZP60" s="14"/>
      <c r="FZQ60" s="54"/>
      <c r="FZR60" s="54"/>
      <c r="FZS60" s="54"/>
      <c r="FZT60" s="54"/>
      <c r="FZU60" s="55"/>
      <c r="FZV60" s="55"/>
      <c r="FZW60" s="58"/>
      <c r="FZX60" s="58"/>
      <c r="FZY60" s="58"/>
      <c r="FZZ60" s="58"/>
      <c r="GAA60" s="58"/>
      <c r="GAB60" s="58"/>
      <c r="GAC60" s="58"/>
      <c r="GAD60" s="14"/>
      <c r="GAE60" s="14"/>
      <c r="GAF60" s="14"/>
      <c r="GAG60" s="14"/>
      <c r="GAH60" s="54"/>
      <c r="GAI60" s="54"/>
      <c r="GAJ60" s="54"/>
      <c r="GAK60" s="54"/>
      <c r="GAL60" s="55"/>
      <c r="GAM60" s="55"/>
      <c r="GAN60" s="58"/>
      <c r="GAO60" s="58"/>
      <c r="GAP60" s="58"/>
      <c r="GAQ60" s="58"/>
      <c r="GAR60" s="58"/>
      <c r="GAS60" s="58"/>
      <c r="GAT60" s="58"/>
      <c r="GAU60" s="14"/>
      <c r="GAV60" s="14"/>
      <c r="GAW60" s="14"/>
      <c r="GAX60" s="14"/>
      <c r="GAY60" s="54"/>
      <c r="GAZ60" s="54"/>
      <c r="GBA60" s="54"/>
      <c r="GBB60" s="54"/>
      <c r="GBC60" s="55"/>
      <c r="GBD60" s="55"/>
      <c r="GBE60" s="58"/>
      <c r="GBF60" s="58"/>
      <c r="GBG60" s="58"/>
      <c r="GBH60" s="58"/>
      <c r="GBI60" s="58"/>
      <c r="GBJ60" s="58"/>
      <c r="GBK60" s="58"/>
      <c r="GBL60" s="14"/>
      <c r="GBM60" s="14"/>
      <c r="GBN60" s="14"/>
      <c r="GBO60" s="14"/>
      <c r="GBP60" s="54"/>
      <c r="GBQ60" s="54"/>
      <c r="GBR60" s="54"/>
      <c r="GBS60" s="54"/>
      <c r="GBT60" s="55"/>
      <c r="GBU60" s="55"/>
      <c r="GBV60" s="58"/>
      <c r="GBW60" s="58"/>
      <c r="GBX60" s="58"/>
      <c r="GBY60" s="58"/>
      <c r="GBZ60" s="58"/>
      <c r="GCA60" s="58"/>
      <c r="GCB60" s="58"/>
      <c r="GCC60" s="14"/>
      <c r="GCD60" s="14"/>
      <c r="GCE60" s="14"/>
      <c r="GCF60" s="14"/>
      <c r="GCG60" s="54"/>
      <c r="GCH60" s="54"/>
      <c r="GCI60" s="54"/>
      <c r="GCJ60" s="54"/>
      <c r="GCK60" s="55"/>
      <c r="GCL60" s="55"/>
      <c r="GCM60" s="58"/>
      <c r="GCN60" s="58"/>
      <c r="GCO60" s="58"/>
      <c r="GCP60" s="58"/>
      <c r="GCQ60" s="58"/>
      <c r="GCR60" s="58"/>
      <c r="GCS60" s="58"/>
      <c r="GCT60" s="14"/>
      <c r="GCU60" s="14"/>
      <c r="GCV60" s="14"/>
      <c r="GCW60" s="14"/>
      <c r="GCX60" s="54"/>
      <c r="GCY60" s="54"/>
      <c r="GCZ60" s="54"/>
      <c r="GDA60" s="54"/>
      <c r="GDB60" s="55"/>
      <c r="GDC60" s="55"/>
      <c r="GDD60" s="58"/>
      <c r="GDE60" s="58"/>
      <c r="GDF60" s="58"/>
      <c r="GDG60" s="58"/>
      <c r="GDH60" s="58"/>
      <c r="GDI60" s="58"/>
      <c r="GDJ60" s="58"/>
      <c r="GDK60" s="14"/>
      <c r="GDL60" s="14"/>
      <c r="GDM60" s="14"/>
      <c r="GDN60" s="14"/>
      <c r="GDO60" s="54"/>
      <c r="GDP60" s="54"/>
      <c r="GDQ60" s="54"/>
      <c r="GDR60" s="54"/>
      <c r="GDS60" s="55"/>
      <c r="GDT60" s="55"/>
      <c r="GDU60" s="58"/>
      <c r="GDV60" s="58"/>
      <c r="GDW60" s="58"/>
      <c r="GDX60" s="58"/>
      <c r="GDY60" s="58"/>
      <c r="GDZ60" s="58"/>
      <c r="GEA60" s="58"/>
      <c r="GEB60" s="14"/>
      <c r="GEC60" s="14"/>
      <c r="GED60" s="14"/>
      <c r="GEE60" s="14"/>
      <c r="GEF60" s="54"/>
      <c r="GEG60" s="54"/>
      <c r="GEH60" s="54"/>
      <c r="GEI60" s="54"/>
      <c r="GEJ60" s="55"/>
      <c r="GEK60" s="55"/>
      <c r="GEL60" s="58"/>
      <c r="GEM60" s="58"/>
      <c r="GEN60" s="58"/>
      <c r="GEO60" s="58"/>
      <c r="GEP60" s="58"/>
      <c r="GEQ60" s="58"/>
      <c r="GER60" s="58"/>
      <c r="GES60" s="14"/>
      <c r="GET60" s="14"/>
      <c r="GEU60" s="14"/>
      <c r="GEV60" s="14"/>
      <c r="GEW60" s="54"/>
      <c r="GEX60" s="54"/>
      <c r="GEY60" s="54"/>
      <c r="GEZ60" s="54"/>
      <c r="GFA60" s="55"/>
      <c r="GFB60" s="55"/>
      <c r="GFC60" s="58"/>
      <c r="GFD60" s="58"/>
      <c r="GFE60" s="58"/>
      <c r="GFF60" s="58"/>
      <c r="GFG60" s="58"/>
      <c r="GFH60" s="58"/>
      <c r="GFI60" s="58"/>
      <c r="GFJ60" s="14"/>
      <c r="GFK60" s="14"/>
      <c r="GFL60" s="14"/>
      <c r="GFM60" s="14"/>
      <c r="GFN60" s="54"/>
      <c r="GFO60" s="54"/>
      <c r="GFP60" s="54"/>
      <c r="GFQ60" s="54"/>
      <c r="GFR60" s="55"/>
      <c r="GFS60" s="55"/>
      <c r="GFT60" s="58"/>
      <c r="GFU60" s="58"/>
      <c r="GFV60" s="58"/>
      <c r="GFW60" s="58"/>
      <c r="GFX60" s="58"/>
      <c r="GFY60" s="58"/>
      <c r="GFZ60" s="58"/>
      <c r="GGA60" s="14"/>
      <c r="GGB60" s="14"/>
      <c r="GGC60" s="14"/>
      <c r="GGD60" s="14"/>
      <c r="GGE60" s="54"/>
      <c r="GGF60" s="54"/>
      <c r="GGG60" s="54"/>
      <c r="GGH60" s="54"/>
      <c r="GGI60" s="55"/>
      <c r="GGJ60" s="55"/>
      <c r="GGK60" s="58"/>
      <c r="GGL60" s="58"/>
      <c r="GGM60" s="58"/>
      <c r="GGN60" s="58"/>
      <c r="GGO60" s="58"/>
      <c r="GGP60" s="58"/>
      <c r="GGQ60" s="58"/>
      <c r="GGR60" s="14"/>
      <c r="GGS60" s="14"/>
      <c r="GGT60" s="14"/>
      <c r="GGU60" s="14"/>
      <c r="GGV60" s="54"/>
      <c r="GGW60" s="54"/>
      <c r="GGX60" s="54"/>
      <c r="GGY60" s="54"/>
      <c r="GGZ60" s="55"/>
      <c r="GHA60" s="55"/>
      <c r="GHB60" s="58"/>
      <c r="GHC60" s="58"/>
      <c r="GHD60" s="58"/>
      <c r="GHE60" s="58"/>
      <c r="GHF60" s="58"/>
      <c r="GHG60" s="58"/>
      <c r="GHH60" s="58"/>
      <c r="GHI60" s="14"/>
      <c r="GHJ60" s="14"/>
      <c r="GHK60" s="14"/>
      <c r="GHL60" s="14"/>
      <c r="GHM60" s="54"/>
      <c r="GHN60" s="54"/>
      <c r="GHO60" s="54"/>
      <c r="GHP60" s="54"/>
      <c r="GHQ60" s="55"/>
      <c r="GHR60" s="55"/>
      <c r="GHS60" s="58"/>
      <c r="GHT60" s="58"/>
      <c r="GHU60" s="58"/>
      <c r="GHV60" s="58"/>
      <c r="GHW60" s="58"/>
      <c r="GHX60" s="58"/>
      <c r="GHY60" s="58"/>
      <c r="GHZ60" s="14"/>
      <c r="GIA60" s="14"/>
      <c r="GIB60" s="14"/>
      <c r="GIC60" s="14"/>
      <c r="GID60" s="54"/>
      <c r="GIE60" s="54"/>
      <c r="GIF60" s="54"/>
      <c r="GIG60" s="54"/>
      <c r="GIH60" s="55"/>
      <c r="GII60" s="55"/>
      <c r="GIJ60" s="58"/>
      <c r="GIK60" s="58"/>
      <c r="GIL60" s="58"/>
      <c r="GIM60" s="58"/>
      <c r="GIN60" s="58"/>
      <c r="GIO60" s="58"/>
      <c r="GIP60" s="58"/>
      <c r="GIQ60" s="14"/>
      <c r="GIR60" s="14"/>
      <c r="GIS60" s="14"/>
      <c r="GIT60" s="14"/>
      <c r="GIU60" s="54"/>
      <c r="GIV60" s="54"/>
      <c r="GIW60" s="54"/>
      <c r="GIX60" s="54"/>
      <c r="GIY60" s="55"/>
      <c r="GIZ60" s="55"/>
      <c r="GJA60" s="58"/>
      <c r="GJB60" s="58"/>
      <c r="GJC60" s="58"/>
      <c r="GJD60" s="58"/>
      <c r="GJE60" s="58"/>
      <c r="GJF60" s="58"/>
      <c r="GJG60" s="58"/>
      <c r="GJH60" s="14"/>
      <c r="GJI60" s="14"/>
      <c r="GJJ60" s="14"/>
      <c r="GJK60" s="14"/>
      <c r="GJL60" s="54"/>
      <c r="GJM60" s="54"/>
      <c r="GJN60" s="54"/>
      <c r="GJO60" s="54"/>
      <c r="GJP60" s="55"/>
      <c r="GJQ60" s="55"/>
      <c r="GJR60" s="58"/>
      <c r="GJS60" s="58"/>
      <c r="GJT60" s="58"/>
      <c r="GJU60" s="58"/>
      <c r="GJV60" s="58"/>
      <c r="GJW60" s="58"/>
      <c r="GJX60" s="58"/>
      <c r="GJY60" s="14"/>
      <c r="GJZ60" s="14"/>
      <c r="GKA60" s="14"/>
      <c r="GKB60" s="14"/>
      <c r="GKC60" s="54"/>
      <c r="GKD60" s="54"/>
      <c r="GKE60" s="54"/>
      <c r="GKF60" s="54"/>
      <c r="GKG60" s="55"/>
      <c r="GKH60" s="55"/>
      <c r="GKI60" s="58"/>
      <c r="GKJ60" s="58"/>
      <c r="GKK60" s="58"/>
      <c r="GKL60" s="58"/>
      <c r="GKM60" s="58"/>
      <c r="GKN60" s="58"/>
      <c r="GKO60" s="58"/>
      <c r="GKP60" s="14"/>
      <c r="GKQ60" s="14"/>
      <c r="GKR60" s="14"/>
      <c r="GKS60" s="14"/>
      <c r="GKT60" s="54"/>
      <c r="GKU60" s="54"/>
      <c r="GKV60" s="54"/>
      <c r="GKW60" s="54"/>
      <c r="GKX60" s="55"/>
      <c r="GKY60" s="55"/>
      <c r="GKZ60" s="58"/>
      <c r="GLA60" s="58"/>
      <c r="GLB60" s="58"/>
      <c r="GLC60" s="58"/>
      <c r="GLD60" s="58"/>
      <c r="GLE60" s="58"/>
      <c r="GLF60" s="58"/>
      <c r="GLG60" s="14"/>
      <c r="GLH60" s="14"/>
      <c r="GLI60" s="14"/>
      <c r="GLJ60" s="14"/>
      <c r="GLK60" s="54"/>
      <c r="GLL60" s="54"/>
      <c r="GLM60" s="54"/>
      <c r="GLN60" s="54"/>
      <c r="GLO60" s="55"/>
      <c r="GLP60" s="55"/>
      <c r="GLQ60" s="58"/>
      <c r="GLR60" s="58"/>
      <c r="GLS60" s="58"/>
      <c r="GLT60" s="58"/>
      <c r="GLU60" s="58"/>
      <c r="GLV60" s="58"/>
      <c r="GLW60" s="58"/>
      <c r="GLX60" s="14"/>
      <c r="GLY60" s="14"/>
      <c r="GLZ60" s="14"/>
      <c r="GMA60" s="14"/>
      <c r="GMB60" s="54"/>
      <c r="GMC60" s="54"/>
      <c r="GMD60" s="54"/>
      <c r="GME60" s="54"/>
      <c r="GMF60" s="55"/>
      <c r="GMG60" s="55"/>
      <c r="GMH60" s="58"/>
      <c r="GMI60" s="58"/>
      <c r="GMJ60" s="58"/>
      <c r="GMK60" s="58"/>
      <c r="GML60" s="58"/>
      <c r="GMM60" s="58"/>
      <c r="GMN60" s="58"/>
      <c r="GMO60" s="14"/>
      <c r="GMP60" s="14"/>
      <c r="GMQ60" s="14"/>
      <c r="GMR60" s="14"/>
      <c r="GMS60" s="54"/>
      <c r="GMT60" s="54"/>
      <c r="GMU60" s="54"/>
      <c r="GMV60" s="54"/>
      <c r="GMW60" s="55"/>
      <c r="GMX60" s="55"/>
      <c r="GMY60" s="58"/>
      <c r="GMZ60" s="58"/>
      <c r="GNA60" s="58"/>
      <c r="GNB60" s="58"/>
      <c r="GNC60" s="58"/>
      <c r="GND60" s="58"/>
      <c r="GNE60" s="58"/>
      <c r="GNF60" s="14"/>
      <c r="GNG60" s="14"/>
      <c r="GNH60" s="14"/>
      <c r="GNI60" s="14"/>
      <c r="GNJ60" s="54"/>
      <c r="GNK60" s="54"/>
      <c r="GNL60" s="54"/>
      <c r="GNM60" s="54"/>
      <c r="GNN60" s="55"/>
      <c r="GNO60" s="55"/>
      <c r="GNP60" s="58"/>
      <c r="GNQ60" s="58"/>
      <c r="GNR60" s="58"/>
      <c r="GNS60" s="58"/>
      <c r="GNT60" s="58"/>
      <c r="GNU60" s="58"/>
      <c r="GNV60" s="58"/>
      <c r="GNW60" s="14"/>
      <c r="GNX60" s="14"/>
      <c r="GNY60" s="14"/>
      <c r="GNZ60" s="14"/>
      <c r="GOA60" s="54"/>
      <c r="GOB60" s="54"/>
      <c r="GOC60" s="54"/>
      <c r="GOD60" s="54"/>
      <c r="GOE60" s="55"/>
      <c r="GOF60" s="55"/>
      <c r="GOG60" s="58"/>
      <c r="GOH60" s="58"/>
      <c r="GOI60" s="58"/>
      <c r="GOJ60" s="58"/>
      <c r="GOK60" s="58"/>
      <c r="GOL60" s="58"/>
      <c r="GOM60" s="58"/>
      <c r="GON60" s="14"/>
      <c r="GOO60" s="14"/>
      <c r="GOP60" s="14"/>
      <c r="GOQ60" s="14"/>
      <c r="GOR60" s="54"/>
      <c r="GOS60" s="54"/>
      <c r="GOT60" s="54"/>
      <c r="GOU60" s="54"/>
      <c r="GOV60" s="55"/>
      <c r="GOW60" s="55"/>
      <c r="GOX60" s="58"/>
      <c r="GOY60" s="58"/>
      <c r="GOZ60" s="58"/>
      <c r="GPA60" s="58"/>
      <c r="GPB60" s="58"/>
      <c r="GPC60" s="58"/>
      <c r="GPD60" s="58"/>
      <c r="GPE60" s="14"/>
      <c r="GPF60" s="14"/>
      <c r="GPG60" s="14"/>
      <c r="GPH60" s="14"/>
      <c r="GPI60" s="54"/>
      <c r="GPJ60" s="54"/>
      <c r="GPK60" s="54"/>
      <c r="GPL60" s="54"/>
      <c r="GPM60" s="55"/>
      <c r="GPN60" s="55"/>
      <c r="GPO60" s="58"/>
      <c r="GPP60" s="58"/>
      <c r="GPQ60" s="58"/>
      <c r="GPR60" s="58"/>
      <c r="GPS60" s="58"/>
      <c r="GPT60" s="58"/>
      <c r="GPU60" s="58"/>
      <c r="GPV60" s="14"/>
      <c r="GPW60" s="14"/>
      <c r="GPX60" s="14"/>
      <c r="GPY60" s="14"/>
      <c r="GPZ60" s="54"/>
      <c r="GQA60" s="54"/>
      <c r="GQB60" s="54"/>
      <c r="GQC60" s="54"/>
      <c r="GQD60" s="55"/>
      <c r="GQE60" s="55"/>
      <c r="GQF60" s="58"/>
      <c r="GQG60" s="58"/>
      <c r="GQH60" s="58"/>
      <c r="GQI60" s="58"/>
      <c r="GQJ60" s="58"/>
      <c r="GQK60" s="58"/>
      <c r="GQL60" s="58"/>
      <c r="GQM60" s="14"/>
      <c r="GQN60" s="14"/>
      <c r="GQO60" s="14"/>
      <c r="GQP60" s="14"/>
      <c r="GQQ60" s="54"/>
      <c r="GQR60" s="54"/>
      <c r="GQS60" s="54"/>
      <c r="GQT60" s="54"/>
      <c r="GQU60" s="55"/>
      <c r="GQV60" s="55"/>
      <c r="GQW60" s="58"/>
      <c r="GQX60" s="58"/>
      <c r="GQY60" s="58"/>
      <c r="GQZ60" s="58"/>
      <c r="GRA60" s="58"/>
      <c r="GRB60" s="58"/>
      <c r="GRC60" s="58"/>
      <c r="GRD60" s="14"/>
      <c r="GRE60" s="14"/>
      <c r="GRF60" s="14"/>
      <c r="GRG60" s="14"/>
      <c r="GRH60" s="54"/>
      <c r="GRI60" s="54"/>
      <c r="GRJ60" s="54"/>
      <c r="GRK60" s="54"/>
      <c r="GRL60" s="55"/>
      <c r="GRM60" s="55"/>
      <c r="GRN60" s="58"/>
      <c r="GRO60" s="58"/>
      <c r="GRP60" s="58"/>
      <c r="GRQ60" s="58"/>
      <c r="GRR60" s="58"/>
      <c r="GRS60" s="58"/>
      <c r="GRT60" s="58"/>
      <c r="GRU60" s="14"/>
      <c r="GRV60" s="14"/>
      <c r="GRW60" s="14"/>
      <c r="GRX60" s="14"/>
      <c r="GRY60" s="54"/>
      <c r="GRZ60" s="54"/>
      <c r="GSA60" s="54"/>
      <c r="GSB60" s="54"/>
      <c r="GSC60" s="55"/>
      <c r="GSD60" s="55"/>
      <c r="GSE60" s="58"/>
      <c r="GSF60" s="58"/>
      <c r="GSG60" s="58"/>
      <c r="GSH60" s="58"/>
      <c r="GSI60" s="58"/>
      <c r="GSJ60" s="58"/>
      <c r="GSK60" s="58"/>
      <c r="GSL60" s="14"/>
      <c r="GSM60" s="14"/>
      <c r="GSN60" s="14"/>
      <c r="GSO60" s="14"/>
      <c r="GSP60" s="54"/>
      <c r="GSQ60" s="54"/>
      <c r="GSR60" s="54"/>
      <c r="GSS60" s="54"/>
      <c r="GST60" s="55"/>
      <c r="GSU60" s="55"/>
      <c r="GSV60" s="58"/>
      <c r="GSW60" s="58"/>
      <c r="GSX60" s="58"/>
      <c r="GSY60" s="58"/>
      <c r="GSZ60" s="58"/>
      <c r="GTA60" s="58"/>
      <c r="GTB60" s="58"/>
      <c r="GTC60" s="14"/>
      <c r="GTD60" s="14"/>
      <c r="GTE60" s="14"/>
      <c r="GTF60" s="14"/>
      <c r="GTG60" s="54"/>
      <c r="GTH60" s="54"/>
      <c r="GTI60" s="54"/>
      <c r="GTJ60" s="54"/>
      <c r="GTK60" s="55"/>
      <c r="GTL60" s="55"/>
      <c r="GTM60" s="58"/>
      <c r="GTN60" s="58"/>
      <c r="GTO60" s="58"/>
      <c r="GTP60" s="58"/>
      <c r="GTQ60" s="58"/>
      <c r="GTR60" s="58"/>
      <c r="GTS60" s="58"/>
      <c r="GTT60" s="14"/>
      <c r="GTU60" s="14"/>
      <c r="GTV60" s="14"/>
      <c r="GTW60" s="14"/>
      <c r="GTX60" s="54"/>
      <c r="GTY60" s="54"/>
      <c r="GTZ60" s="54"/>
      <c r="GUA60" s="54"/>
      <c r="GUB60" s="55"/>
      <c r="GUC60" s="55"/>
      <c r="GUD60" s="58"/>
      <c r="GUE60" s="58"/>
      <c r="GUF60" s="58"/>
      <c r="GUG60" s="58"/>
      <c r="GUH60" s="58"/>
      <c r="GUI60" s="58"/>
      <c r="GUJ60" s="58"/>
      <c r="GUK60" s="14"/>
      <c r="GUL60" s="14"/>
      <c r="GUM60" s="14"/>
      <c r="GUN60" s="14"/>
      <c r="GUO60" s="54"/>
      <c r="GUP60" s="54"/>
      <c r="GUQ60" s="54"/>
      <c r="GUR60" s="54"/>
      <c r="GUS60" s="55"/>
      <c r="GUT60" s="55"/>
      <c r="GUU60" s="58"/>
      <c r="GUV60" s="58"/>
      <c r="GUW60" s="58"/>
      <c r="GUX60" s="58"/>
      <c r="GUY60" s="58"/>
      <c r="GUZ60" s="58"/>
      <c r="GVA60" s="58"/>
      <c r="GVB60" s="14"/>
      <c r="GVC60" s="14"/>
      <c r="GVD60" s="14"/>
      <c r="GVE60" s="14"/>
      <c r="GVF60" s="54"/>
      <c r="GVG60" s="54"/>
      <c r="GVH60" s="54"/>
      <c r="GVI60" s="54"/>
      <c r="GVJ60" s="55"/>
      <c r="GVK60" s="55"/>
      <c r="GVL60" s="58"/>
      <c r="GVM60" s="58"/>
      <c r="GVN60" s="58"/>
      <c r="GVO60" s="58"/>
      <c r="GVP60" s="58"/>
      <c r="GVQ60" s="58"/>
      <c r="GVR60" s="58"/>
      <c r="GVS60" s="14"/>
      <c r="GVT60" s="14"/>
      <c r="GVU60" s="14"/>
      <c r="GVV60" s="14"/>
      <c r="GVW60" s="54"/>
      <c r="GVX60" s="54"/>
      <c r="GVY60" s="54"/>
      <c r="GVZ60" s="54"/>
      <c r="GWA60" s="55"/>
      <c r="GWB60" s="55"/>
      <c r="GWC60" s="58"/>
      <c r="GWD60" s="58"/>
      <c r="GWE60" s="58"/>
      <c r="GWF60" s="58"/>
      <c r="GWG60" s="58"/>
      <c r="GWH60" s="58"/>
      <c r="GWI60" s="58"/>
      <c r="GWJ60" s="14"/>
      <c r="GWK60" s="14"/>
      <c r="GWL60" s="14"/>
      <c r="GWM60" s="14"/>
      <c r="GWN60" s="54"/>
      <c r="GWO60" s="54"/>
      <c r="GWP60" s="54"/>
      <c r="GWQ60" s="54"/>
      <c r="GWR60" s="55"/>
      <c r="GWS60" s="55"/>
      <c r="GWT60" s="58"/>
      <c r="GWU60" s="58"/>
      <c r="GWV60" s="58"/>
      <c r="GWW60" s="58"/>
      <c r="GWX60" s="58"/>
      <c r="GWY60" s="58"/>
      <c r="GWZ60" s="58"/>
      <c r="GXA60" s="14"/>
      <c r="GXB60" s="14"/>
      <c r="GXC60" s="14"/>
      <c r="GXD60" s="14"/>
      <c r="GXE60" s="54"/>
      <c r="GXF60" s="54"/>
      <c r="GXG60" s="54"/>
      <c r="GXH60" s="54"/>
      <c r="GXI60" s="55"/>
      <c r="GXJ60" s="55"/>
      <c r="GXK60" s="58"/>
      <c r="GXL60" s="58"/>
      <c r="GXM60" s="58"/>
      <c r="GXN60" s="58"/>
      <c r="GXO60" s="58"/>
      <c r="GXP60" s="58"/>
      <c r="GXQ60" s="58"/>
      <c r="GXR60" s="14"/>
      <c r="GXS60" s="14"/>
      <c r="GXT60" s="14"/>
      <c r="GXU60" s="14"/>
      <c r="GXV60" s="54"/>
      <c r="GXW60" s="54"/>
      <c r="GXX60" s="54"/>
      <c r="GXY60" s="54"/>
      <c r="GXZ60" s="55"/>
      <c r="GYA60" s="55"/>
      <c r="GYB60" s="58"/>
      <c r="GYC60" s="58"/>
      <c r="GYD60" s="58"/>
      <c r="GYE60" s="58"/>
      <c r="GYF60" s="58"/>
      <c r="GYG60" s="58"/>
      <c r="GYH60" s="58"/>
      <c r="GYI60" s="14"/>
      <c r="GYJ60" s="14"/>
      <c r="GYK60" s="14"/>
      <c r="GYL60" s="14"/>
      <c r="GYM60" s="54"/>
      <c r="GYN60" s="54"/>
      <c r="GYO60" s="54"/>
      <c r="GYP60" s="54"/>
      <c r="GYQ60" s="55"/>
      <c r="GYR60" s="55"/>
      <c r="GYS60" s="58"/>
      <c r="GYT60" s="58"/>
      <c r="GYU60" s="58"/>
      <c r="GYV60" s="58"/>
      <c r="GYW60" s="58"/>
      <c r="GYX60" s="58"/>
      <c r="GYY60" s="58"/>
      <c r="GYZ60" s="14"/>
      <c r="GZA60" s="14"/>
      <c r="GZB60" s="14"/>
      <c r="GZC60" s="14"/>
      <c r="GZD60" s="54"/>
      <c r="GZE60" s="54"/>
      <c r="GZF60" s="54"/>
      <c r="GZG60" s="54"/>
      <c r="GZH60" s="55"/>
      <c r="GZI60" s="55"/>
      <c r="GZJ60" s="58"/>
      <c r="GZK60" s="58"/>
      <c r="GZL60" s="58"/>
      <c r="GZM60" s="58"/>
      <c r="GZN60" s="58"/>
      <c r="GZO60" s="58"/>
      <c r="GZP60" s="58"/>
      <c r="GZQ60" s="14"/>
      <c r="GZR60" s="14"/>
      <c r="GZS60" s="14"/>
      <c r="GZT60" s="14"/>
      <c r="GZU60" s="54"/>
      <c r="GZV60" s="54"/>
      <c r="GZW60" s="54"/>
      <c r="GZX60" s="54"/>
      <c r="GZY60" s="55"/>
      <c r="GZZ60" s="55"/>
      <c r="HAA60" s="58"/>
      <c r="HAB60" s="58"/>
      <c r="HAC60" s="58"/>
      <c r="HAD60" s="58"/>
      <c r="HAE60" s="58"/>
      <c r="HAF60" s="58"/>
      <c r="HAG60" s="58"/>
      <c r="HAH60" s="14"/>
      <c r="HAI60" s="14"/>
      <c r="HAJ60" s="14"/>
      <c r="HAK60" s="14"/>
      <c r="HAL60" s="54"/>
      <c r="HAM60" s="54"/>
      <c r="HAN60" s="54"/>
      <c r="HAO60" s="54"/>
      <c r="HAP60" s="55"/>
      <c r="HAQ60" s="55"/>
      <c r="HAR60" s="58"/>
      <c r="HAS60" s="58"/>
      <c r="HAT60" s="58"/>
      <c r="HAU60" s="58"/>
      <c r="HAV60" s="58"/>
      <c r="HAW60" s="58"/>
      <c r="HAX60" s="58"/>
      <c r="HAY60" s="14"/>
      <c r="HAZ60" s="14"/>
      <c r="HBA60" s="14"/>
      <c r="HBB60" s="14"/>
      <c r="HBC60" s="54"/>
      <c r="HBD60" s="54"/>
      <c r="HBE60" s="54"/>
      <c r="HBF60" s="54"/>
      <c r="HBG60" s="55"/>
      <c r="HBH60" s="55"/>
      <c r="HBI60" s="58"/>
      <c r="HBJ60" s="58"/>
      <c r="HBK60" s="58"/>
      <c r="HBL60" s="58"/>
      <c r="HBM60" s="58"/>
      <c r="HBN60" s="58"/>
      <c r="HBO60" s="58"/>
      <c r="HBP60" s="14"/>
      <c r="HBQ60" s="14"/>
      <c r="HBR60" s="14"/>
      <c r="HBS60" s="14"/>
      <c r="HBT60" s="54"/>
      <c r="HBU60" s="54"/>
      <c r="HBV60" s="54"/>
      <c r="HBW60" s="54"/>
      <c r="HBX60" s="55"/>
      <c r="HBY60" s="55"/>
      <c r="HBZ60" s="58"/>
      <c r="HCA60" s="58"/>
      <c r="HCB60" s="58"/>
      <c r="HCC60" s="58"/>
      <c r="HCD60" s="58"/>
      <c r="HCE60" s="58"/>
      <c r="HCF60" s="58"/>
      <c r="HCG60" s="14"/>
      <c r="HCH60" s="14"/>
      <c r="HCI60" s="14"/>
      <c r="HCJ60" s="14"/>
      <c r="HCK60" s="54"/>
      <c r="HCL60" s="54"/>
      <c r="HCM60" s="54"/>
      <c r="HCN60" s="54"/>
      <c r="HCO60" s="55"/>
      <c r="HCP60" s="55"/>
      <c r="HCQ60" s="58"/>
      <c r="HCR60" s="58"/>
      <c r="HCS60" s="58"/>
      <c r="HCT60" s="58"/>
      <c r="HCU60" s="58"/>
      <c r="HCV60" s="58"/>
      <c r="HCW60" s="58"/>
      <c r="HCX60" s="14"/>
      <c r="HCY60" s="14"/>
      <c r="HCZ60" s="14"/>
      <c r="HDA60" s="14"/>
      <c r="HDB60" s="54"/>
      <c r="HDC60" s="54"/>
      <c r="HDD60" s="54"/>
      <c r="HDE60" s="54"/>
      <c r="HDF60" s="55"/>
      <c r="HDG60" s="55"/>
      <c r="HDH60" s="58"/>
      <c r="HDI60" s="58"/>
      <c r="HDJ60" s="58"/>
      <c r="HDK60" s="58"/>
      <c r="HDL60" s="58"/>
      <c r="HDM60" s="58"/>
      <c r="HDN60" s="58"/>
      <c r="HDO60" s="14"/>
      <c r="HDP60" s="14"/>
      <c r="HDQ60" s="14"/>
      <c r="HDR60" s="14"/>
      <c r="HDS60" s="54"/>
      <c r="HDT60" s="54"/>
      <c r="HDU60" s="54"/>
      <c r="HDV60" s="54"/>
      <c r="HDW60" s="55"/>
      <c r="HDX60" s="55"/>
      <c r="HDY60" s="58"/>
      <c r="HDZ60" s="58"/>
      <c r="HEA60" s="58"/>
      <c r="HEB60" s="58"/>
      <c r="HEC60" s="58"/>
      <c r="HED60" s="58"/>
      <c r="HEE60" s="58"/>
      <c r="HEF60" s="14"/>
      <c r="HEG60" s="14"/>
      <c r="HEH60" s="14"/>
      <c r="HEI60" s="14"/>
      <c r="HEJ60" s="54"/>
      <c r="HEK60" s="54"/>
      <c r="HEL60" s="54"/>
      <c r="HEM60" s="54"/>
      <c r="HEN60" s="55"/>
      <c r="HEO60" s="55"/>
      <c r="HEP60" s="58"/>
      <c r="HEQ60" s="58"/>
      <c r="HER60" s="58"/>
      <c r="HES60" s="58"/>
      <c r="HET60" s="58"/>
      <c r="HEU60" s="58"/>
      <c r="HEV60" s="58"/>
      <c r="HEW60" s="14"/>
      <c r="HEX60" s="14"/>
      <c r="HEY60" s="14"/>
      <c r="HEZ60" s="14"/>
      <c r="HFA60" s="54"/>
      <c r="HFB60" s="54"/>
      <c r="HFC60" s="54"/>
      <c r="HFD60" s="54"/>
      <c r="HFE60" s="55"/>
      <c r="HFF60" s="55"/>
      <c r="HFG60" s="58"/>
      <c r="HFH60" s="58"/>
      <c r="HFI60" s="58"/>
      <c r="HFJ60" s="58"/>
      <c r="HFK60" s="58"/>
      <c r="HFL60" s="58"/>
      <c r="HFM60" s="58"/>
      <c r="HFN60" s="14"/>
      <c r="HFO60" s="14"/>
      <c r="HFP60" s="14"/>
      <c r="HFQ60" s="14"/>
      <c r="HFR60" s="54"/>
      <c r="HFS60" s="54"/>
      <c r="HFT60" s="54"/>
      <c r="HFU60" s="54"/>
      <c r="HFV60" s="55"/>
      <c r="HFW60" s="55"/>
      <c r="HFX60" s="58"/>
      <c r="HFY60" s="58"/>
      <c r="HFZ60" s="58"/>
      <c r="HGA60" s="58"/>
      <c r="HGB60" s="58"/>
      <c r="HGC60" s="58"/>
      <c r="HGD60" s="58"/>
      <c r="HGE60" s="14"/>
      <c r="HGF60" s="14"/>
      <c r="HGG60" s="14"/>
      <c r="HGH60" s="14"/>
      <c r="HGI60" s="54"/>
      <c r="HGJ60" s="54"/>
      <c r="HGK60" s="54"/>
      <c r="HGL60" s="54"/>
      <c r="HGM60" s="55"/>
      <c r="HGN60" s="55"/>
      <c r="HGO60" s="58"/>
      <c r="HGP60" s="58"/>
      <c r="HGQ60" s="58"/>
      <c r="HGR60" s="58"/>
      <c r="HGS60" s="58"/>
      <c r="HGT60" s="58"/>
      <c r="HGU60" s="58"/>
      <c r="HGV60" s="14"/>
      <c r="HGW60" s="14"/>
      <c r="HGX60" s="14"/>
      <c r="HGY60" s="14"/>
      <c r="HGZ60" s="54"/>
      <c r="HHA60" s="54"/>
      <c r="HHB60" s="54"/>
      <c r="HHC60" s="54"/>
      <c r="HHD60" s="55"/>
      <c r="HHE60" s="55"/>
      <c r="HHF60" s="58"/>
      <c r="HHG60" s="58"/>
      <c r="HHH60" s="58"/>
      <c r="HHI60" s="58"/>
      <c r="HHJ60" s="58"/>
      <c r="HHK60" s="58"/>
      <c r="HHL60" s="58"/>
      <c r="HHM60" s="14"/>
      <c r="HHN60" s="14"/>
      <c r="HHO60" s="14"/>
      <c r="HHP60" s="14"/>
      <c r="HHQ60" s="54"/>
      <c r="HHR60" s="54"/>
      <c r="HHS60" s="54"/>
      <c r="HHT60" s="54"/>
      <c r="HHU60" s="55"/>
      <c r="HHV60" s="55"/>
      <c r="HHW60" s="58"/>
      <c r="HHX60" s="58"/>
      <c r="HHY60" s="58"/>
      <c r="HHZ60" s="58"/>
      <c r="HIA60" s="58"/>
      <c r="HIB60" s="58"/>
      <c r="HIC60" s="58"/>
      <c r="HID60" s="14"/>
      <c r="HIE60" s="14"/>
      <c r="HIF60" s="14"/>
      <c r="HIG60" s="14"/>
      <c r="HIH60" s="54"/>
      <c r="HII60" s="54"/>
      <c r="HIJ60" s="54"/>
      <c r="HIK60" s="54"/>
      <c r="HIL60" s="55"/>
      <c r="HIM60" s="55"/>
      <c r="HIN60" s="58"/>
      <c r="HIO60" s="58"/>
      <c r="HIP60" s="58"/>
      <c r="HIQ60" s="58"/>
      <c r="HIR60" s="58"/>
      <c r="HIS60" s="58"/>
      <c r="HIT60" s="58"/>
      <c r="HIU60" s="14"/>
      <c r="HIV60" s="14"/>
      <c r="HIW60" s="14"/>
      <c r="HIX60" s="14"/>
      <c r="HIY60" s="54"/>
      <c r="HIZ60" s="54"/>
      <c r="HJA60" s="54"/>
      <c r="HJB60" s="54"/>
      <c r="HJC60" s="55"/>
      <c r="HJD60" s="55"/>
      <c r="HJE60" s="58"/>
      <c r="HJF60" s="58"/>
      <c r="HJG60" s="58"/>
      <c r="HJH60" s="58"/>
      <c r="HJI60" s="58"/>
      <c r="HJJ60" s="58"/>
      <c r="HJK60" s="58"/>
      <c r="HJL60" s="14"/>
      <c r="HJM60" s="14"/>
      <c r="HJN60" s="14"/>
      <c r="HJO60" s="14"/>
      <c r="HJP60" s="54"/>
      <c r="HJQ60" s="54"/>
      <c r="HJR60" s="54"/>
      <c r="HJS60" s="54"/>
      <c r="HJT60" s="55"/>
      <c r="HJU60" s="55"/>
      <c r="HJV60" s="58"/>
      <c r="HJW60" s="58"/>
      <c r="HJX60" s="58"/>
      <c r="HJY60" s="58"/>
      <c r="HJZ60" s="58"/>
      <c r="HKA60" s="58"/>
      <c r="HKB60" s="58"/>
      <c r="HKC60" s="14"/>
      <c r="HKD60" s="14"/>
      <c r="HKE60" s="14"/>
      <c r="HKF60" s="14"/>
      <c r="HKG60" s="54"/>
      <c r="HKH60" s="54"/>
      <c r="HKI60" s="54"/>
      <c r="HKJ60" s="54"/>
      <c r="HKK60" s="55"/>
      <c r="HKL60" s="55"/>
      <c r="HKM60" s="58"/>
      <c r="HKN60" s="58"/>
      <c r="HKO60" s="58"/>
      <c r="HKP60" s="58"/>
      <c r="HKQ60" s="58"/>
      <c r="HKR60" s="58"/>
      <c r="HKS60" s="58"/>
      <c r="HKT60" s="14"/>
      <c r="HKU60" s="14"/>
      <c r="HKV60" s="14"/>
      <c r="HKW60" s="14"/>
      <c r="HKX60" s="54"/>
      <c r="HKY60" s="54"/>
      <c r="HKZ60" s="54"/>
      <c r="HLA60" s="54"/>
      <c r="HLB60" s="55"/>
      <c r="HLC60" s="55"/>
      <c r="HLD60" s="58"/>
      <c r="HLE60" s="58"/>
      <c r="HLF60" s="58"/>
      <c r="HLG60" s="58"/>
      <c r="HLH60" s="58"/>
      <c r="HLI60" s="58"/>
      <c r="HLJ60" s="58"/>
      <c r="HLK60" s="14"/>
      <c r="HLL60" s="14"/>
      <c r="HLM60" s="14"/>
      <c r="HLN60" s="14"/>
      <c r="HLO60" s="54"/>
      <c r="HLP60" s="54"/>
      <c r="HLQ60" s="54"/>
      <c r="HLR60" s="54"/>
      <c r="HLS60" s="55"/>
      <c r="HLT60" s="55"/>
      <c r="HLU60" s="58"/>
      <c r="HLV60" s="58"/>
      <c r="HLW60" s="58"/>
      <c r="HLX60" s="58"/>
      <c r="HLY60" s="58"/>
      <c r="HLZ60" s="58"/>
      <c r="HMA60" s="58"/>
      <c r="HMB60" s="14"/>
      <c r="HMC60" s="14"/>
      <c r="HMD60" s="14"/>
      <c r="HME60" s="14"/>
      <c r="HMF60" s="54"/>
      <c r="HMG60" s="54"/>
      <c r="HMH60" s="54"/>
      <c r="HMI60" s="54"/>
      <c r="HMJ60" s="55"/>
      <c r="HMK60" s="55"/>
      <c r="HML60" s="58"/>
      <c r="HMM60" s="58"/>
      <c r="HMN60" s="58"/>
      <c r="HMO60" s="58"/>
      <c r="HMP60" s="58"/>
      <c r="HMQ60" s="58"/>
      <c r="HMR60" s="58"/>
      <c r="HMS60" s="14"/>
      <c r="HMT60" s="14"/>
      <c r="HMU60" s="14"/>
      <c r="HMV60" s="14"/>
      <c r="HMW60" s="54"/>
      <c r="HMX60" s="54"/>
      <c r="HMY60" s="54"/>
      <c r="HMZ60" s="54"/>
      <c r="HNA60" s="55"/>
      <c r="HNB60" s="55"/>
      <c r="HNC60" s="58"/>
      <c r="HND60" s="58"/>
      <c r="HNE60" s="58"/>
      <c r="HNF60" s="58"/>
      <c r="HNG60" s="58"/>
      <c r="HNH60" s="58"/>
      <c r="HNI60" s="58"/>
      <c r="HNJ60" s="14"/>
      <c r="HNK60" s="14"/>
      <c r="HNL60" s="14"/>
      <c r="HNM60" s="14"/>
      <c r="HNN60" s="54"/>
      <c r="HNO60" s="54"/>
      <c r="HNP60" s="54"/>
      <c r="HNQ60" s="54"/>
      <c r="HNR60" s="55"/>
      <c r="HNS60" s="55"/>
      <c r="HNT60" s="58"/>
      <c r="HNU60" s="58"/>
      <c r="HNV60" s="58"/>
      <c r="HNW60" s="58"/>
      <c r="HNX60" s="58"/>
      <c r="HNY60" s="58"/>
      <c r="HNZ60" s="58"/>
      <c r="HOA60" s="14"/>
      <c r="HOB60" s="14"/>
      <c r="HOC60" s="14"/>
      <c r="HOD60" s="14"/>
      <c r="HOE60" s="54"/>
      <c r="HOF60" s="54"/>
      <c r="HOG60" s="54"/>
      <c r="HOH60" s="54"/>
      <c r="HOI60" s="55"/>
      <c r="HOJ60" s="55"/>
      <c r="HOK60" s="58"/>
      <c r="HOL60" s="58"/>
      <c r="HOM60" s="58"/>
      <c r="HON60" s="58"/>
      <c r="HOO60" s="58"/>
      <c r="HOP60" s="58"/>
      <c r="HOQ60" s="58"/>
      <c r="HOR60" s="14"/>
      <c r="HOS60" s="14"/>
      <c r="HOT60" s="14"/>
      <c r="HOU60" s="14"/>
      <c r="HOV60" s="54"/>
      <c r="HOW60" s="54"/>
      <c r="HOX60" s="54"/>
      <c r="HOY60" s="54"/>
      <c r="HOZ60" s="55"/>
      <c r="HPA60" s="55"/>
      <c r="HPB60" s="58"/>
      <c r="HPC60" s="58"/>
      <c r="HPD60" s="58"/>
      <c r="HPE60" s="58"/>
      <c r="HPF60" s="58"/>
      <c r="HPG60" s="58"/>
      <c r="HPH60" s="58"/>
      <c r="HPI60" s="14"/>
      <c r="HPJ60" s="14"/>
      <c r="HPK60" s="14"/>
      <c r="HPL60" s="14"/>
      <c r="HPM60" s="54"/>
      <c r="HPN60" s="54"/>
      <c r="HPO60" s="54"/>
      <c r="HPP60" s="54"/>
      <c r="HPQ60" s="55"/>
      <c r="HPR60" s="55"/>
      <c r="HPS60" s="58"/>
      <c r="HPT60" s="58"/>
      <c r="HPU60" s="58"/>
      <c r="HPV60" s="58"/>
      <c r="HPW60" s="58"/>
      <c r="HPX60" s="58"/>
      <c r="HPY60" s="58"/>
      <c r="HPZ60" s="14"/>
      <c r="HQA60" s="14"/>
      <c r="HQB60" s="14"/>
      <c r="HQC60" s="14"/>
      <c r="HQD60" s="54"/>
      <c r="HQE60" s="54"/>
      <c r="HQF60" s="54"/>
      <c r="HQG60" s="54"/>
      <c r="HQH60" s="55"/>
      <c r="HQI60" s="55"/>
      <c r="HQJ60" s="58"/>
      <c r="HQK60" s="58"/>
      <c r="HQL60" s="58"/>
      <c r="HQM60" s="58"/>
      <c r="HQN60" s="58"/>
      <c r="HQO60" s="58"/>
      <c r="HQP60" s="58"/>
      <c r="HQQ60" s="14"/>
      <c r="HQR60" s="14"/>
      <c r="HQS60" s="14"/>
      <c r="HQT60" s="14"/>
      <c r="HQU60" s="54"/>
      <c r="HQV60" s="54"/>
      <c r="HQW60" s="54"/>
      <c r="HQX60" s="54"/>
      <c r="HQY60" s="55"/>
      <c r="HQZ60" s="55"/>
      <c r="HRA60" s="58"/>
      <c r="HRB60" s="58"/>
      <c r="HRC60" s="58"/>
      <c r="HRD60" s="58"/>
      <c r="HRE60" s="58"/>
      <c r="HRF60" s="58"/>
      <c r="HRG60" s="58"/>
      <c r="HRH60" s="14"/>
      <c r="HRI60" s="14"/>
      <c r="HRJ60" s="14"/>
      <c r="HRK60" s="14"/>
      <c r="HRL60" s="54"/>
      <c r="HRM60" s="54"/>
      <c r="HRN60" s="54"/>
      <c r="HRO60" s="54"/>
      <c r="HRP60" s="55"/>
      <c r="HRQ60" s="55"/>
      <c r="HRR60" s="58"/>
      <c r="HRS60" s="58"/>
      <c r="HRT60" s="58"/>
      <c r="HRU60" s="58"/>
      <c r="HRV60" s="58"/>
      <c r="HRW60" s="58"/>
      <c r="HRX60" s="58"/>
      <c r="HRY60" s="14"/>
      <c r="HRZ60" s="14"/>
      <c r="HSA60" s="14"/>
      <c r="HSB60" s="14"/>
      <c r="HSC60" s="54"/>
      <c r="HSD60" s="54"/>
      <c r="HSE60" s="54"/>
      <c r="HSF60" s="54"/>
      <c r="HSG60" s="55"/>
      <c r="HSH60" s="55"/>
      <c r="HSI60" s="58"/>
      <c r="HSJ60" s="58"/>
      <c r="HSK60" s="58"/>
      <c r="HSL60" s="58"/>
      <c r="HSM60" s="58"/>
      <c r="HSN60" s="58"/>
      <c r="HSO60" s="58"/>
      <c r="HSP60" s="14"/>
      <c r="HSQ60" s="14"/>
      <c r="HSR60" s="14"/>
      <c r="HSS60" s="14"/>
      <c r="HST60" s="54"/>
      <c r="HSU60" s="54"/>
      <c r="HSV60" s="54"/>
      <c r="HSW60" s="54"/>
      <c r="HSX60" s="55"/>
      <c r="HSY60" s="55"/>
      <c r="HSZ60" s="58"/>
      <c r="HTA60" s="58"/>
      <c r="HTB60" s="58"/>
      <c r="HTC60" s="58"/>
      <c r="HTD60" s="58"/>
      <c r="HTE60" s="58"/>
      <c r="HTF60" s="58"/>
      <c r="HTG60" s="14"/>
      <c r="HTH60" s="14"/>
      <c r="HTI60" s="14"/>
      <c r="HTJ60" s="14"/>
      <c r="HTK60" s="54"/>
      <c r="HTL60" s="54"/>
      <c r="HTM60" s="54"/>
      <c r="HTN60" s="54"/>
      <c r="HTO60" s="55"/>
      <c r="HTP60" s="55"/>
      <c r="HTQ60" s="58"/>
      <c r="HTR60" s="58"/>
      <c r="HTS60" s="58"/>
      <c r="HTT60" s="58"/>
      <c r="HTU60" s="58"/>
      <c r="HTV60" s="58"/>
      <c r="HTW60" s="58"/>
      <c r="HTX60" s="14"/>
      <c r="HTY60" s="14"/>
      <c r="HTZ60" s="14"/>
      <c r="HUA60" s="14"/>
      <c r="HUB60" s="54"/>
      <c r="HUC60" s="54"/>
      <c r="HUD60" s="54"/>
      <c r="HUE60" s="54"/>
      <c r="HUF60" s="55"/>
      <c r="HUG60" s="55"/>
      <c r="HUH60" s="58"/>
      <c r="HUI60" s="58"/>
      <c r="HUJ60" s="58"/>
      <c r="HUK60" s="58"/>
      <c r="HUL60" s="58"/>
      <c r="HUM60" s="58"/>
      <c r="HUN60" s="58"/>
      <c r="HUO60" s="14"/>
      <c r="HUP60" s="14"/>
      <c r="HUQ60" s="14"/>
      <c r="HUR60" s="14"/>
      <c r="HUS60" s="54"/>
      <c r="HUT60" s="54"/>
      <c r="HUU60" s="54"/>
      <c r="HUV60" s="54"/>
      <c r="HUW60" s="55"/>
      <c r="HUX60" s="55"/>
      <c r="HUY60" s="58"/>
      <c r="HUZ60" s="58"/>
      <c r="HVA60" s="58"/>
      <c r="HVB60" s="58"/>
      <c r="HVC60" s="58"/>
      <c r="HVD60" s="58"/>
      <c r="HVE60" s="58"/>
      <c r="HVF60" s="14"/>
      <c r="HVG60" s="14"/>
      <c r="HVH60" s="14"/>
      <c r="HVI60" s="14"/>
      <c r="HVJ60" s="54"/>
      <c r="HVK60" s="54"/>
      <c r="HVL60" s="54"/>
      <c r="HVM60" s="54"/>
      <c r="HVN60" s="55"/>
      <c r="HVO60" s="55"/>
      <c r="HVP60" s="58"/>
      <c r="HVQ60" s="58"/>
      <c r="HVR60" s="58"/>
      <c r="HVS60" s="58"/>
      <c r="HVT60" s="58"/>
      <c r="HVU60" s="58"/>
      <c r="HVV60" s="58"/>
      <c r="HVW60" s="14"/>
      <c r="HVX60" s="14"/>
      <c r="HVY60" s="14"/>
      <c r="HVZ60" s="14"/>
      <c r="HWA60" s="54"/>
      <c r="HWB60" s="54"/>
      <c r="HWC60" s="54"/>
      <c r="HWD60" s="54"/>
      <c r="HWE60" s="55"/>
      <c r="HWF60" s="55"/>
      <c r="HWG60" s="58"/>
      <c r="HWH60" s="58"/>
      <c r="HWI60" s="58"/>
      <c r="HWJ60" s="58"/>
      <c r="HWK60" s="58"/>
      <c r="HWL60" s="58"/>
      <c r="HWM60" s="58"/>
      <c r="HWN60" s="14"/>
      <c r="HWO60" s="14"/>
      <c r="HWP60" s="14"/>
      <c r="HWQ60" s="14"/>
      <c r="HWR60" s="54"/>
      <c r="HWS60" s="54"/>
      <c r="HWT60" s="54"/>
      <c r="HWU60" s="54"/>
      <c r="HWV60" s="55"/>
      <c r="HWW60" s="55"/>
      <c r="HWX60" s="58"/>
      <c r="HWY60" s="58"/>
      <c r="HWZ60" s="58"/>
      <c r="HXA60" s="58"/>
      <c r="HXB60" s="58"/>
      <c r="HXC60" s="58"/>
      <c r="HXD60" s="58"/>
      <c r="HXE60" s="14"/>
      <c r="HXF60" s="14"/>
      <c r="HXG60" s="14"/>
      <c r="HXH60" s="14"/>
      <c r="HXI60" s="54"/>
      <c r="HXJ60" s="54"/>
      <c r="HXK60" s="54"/>
      <c r="HXL60" s="54"/>
      <c r="HXM60" s="55"/>
      <c r="HXN60" s="55"/>
      <c r="HXO60" s="58"/>
      <c r="HXP60" s="58"/>
      <c r="HXQ60" s="58"/>
      <c r="HXR60" s="58"/>
      <c r="HXS60" s="58"/>
      <c r="HXT60" s="58"/>
      <c r="HXU60" s="58"/>
      <c r="HXV60" s="14"/>
      <c r="HXW60" s="14"/>
      <c r="HXX60" s="14"/>
      <c r="HXY60" s="14"/>
      <c r="HXZ60" s="54"/>
      <c r="HYA60" s="54"/>
      <c r="HYB60" s="54"/>
      <c r="HYC60" s="54"/>
      <c r="HYD60" s="55"/>
      <c r="HYE60" s="55"/>
      <c r="HYF60" s="58"/>
      <c r="HYG60" s="58"/>
      <c r="HYH60" s="58"/>
      <c r="HYI60" s="58"/>
      <c r="HYJ60" s="58"/>
      <c r="HYK60" s="58"/>
      <c r="HYL60" s="58"/>
      <c r="HYM60" s="14"/>
      <c r="HYN60" s="14"/>
      <c r="HYO60" s="14"/>
      <c r="HYP60" s="14"/>
      <c r="HYQ60" s="54"/>
      <c r="HYR60" s="54"/>
      <c r="HYS60" s="54"/>
      <c r="HYT60" s="54"/>
      <c r="HYU60" s="55"/>
      <c r="HYV60" s="55"/>
      <c r="HYW60" s="58"/>
      <c r="HYX60" s="58"/>
      <c r="HYY60" s="58"/>
      <c r="HYZ60" s="58"/>
      <c r="HZA60" s="58"/>
      <c r="HZB60" s="58"/>
      <c r="HZC60" s="58"/>
      <c r="HZD60" s="14"/>
      <c r="HZE60" s="14"/>
      <c r="HZF60" s="14"/>
      <c r="HZG60" s="14"/>
      <c r="HZH60" s="54"/>
      <c r="HZI60" s="54"/>
      <c r="HZJ60" s="54"/>
      <c r="HZK60" s="54"/>
      <c r="HZL60" s="55"/>
      <c r="HZM60" s="55"/>
      <c r="HZN60" s="58"/>
      <c r="HZO60" s="58"/>
      <c r="HZP60" s="58"/>
      <c r="HZQ60" s="58"/>
      <c r="HZR60" s="58"/>
      <c r="HZS60" s="58"/>
      <c r="HZT60" s="58"/>
      <c r="HZU60" s="14"/>
      <c r="HZV60" s="14"/>
      <c r="HZW60" s="14"/>
      <c r="HZX60" s="14"/>
      <c r="HZY60" s="54"/>
      <c r="HZZ60" s="54"/>
      <c r="IAA60" s="54"/>
      <c r="IAB60" s="54"/>
      <c r="IAC60" s="55"/>
      <c r="IAD60" s="55"/>
      <c r="IAE60" s="58"/>
      <c r="IAF60" s="58"/>
      <c r="IAG60" s="58"/>
      <c r="IAH60" s="58"/>
      <c r="IAI60" s="58"/>
      <c r="IAJ60" s="58"/>
      <c r="IAK60" s="58"/>
      <c r="IAL60" s="14"/>
      <c r="IAM60" s="14"/>
      <c r="IAN60" s="14"/>
      <c r="IAO60" s="14"/>
      <c r="IAP60" s="54"/>
      <c r="IAQ60" s="54"/>
      <c r="IAR60" s="54"/>
      <c r="IAS60" s="54"/>
      <c r="IAT60" s="55"/>
      <c r="IAU60" s="55"/>
      <c r="IAV60" s="58"/>
      <c r="IAW60" s="58"/>
      <c r="IAX60" s="58"/>
      <c r="IAY60" s="58"/>
      <c r="IAZ60" s="58"/>
      <c r="IBA60" s="58"/>
      <c r="IBB60" s="58"/>
      <c r="IBC60" s="14"/>
      <c r="IBD60" s="14"/>
      <c r="IBE60" s="14"/>
      <c r="IBF60" s="14"/>
      <c r="IBG60" s="54"/>
      <c r="IBH60" s="54"/>
      <c r="IBI60" s="54"/>
      <c r="IBJ60" s="54"/>
      <c r="IBK60" s="55"/>
      <c r="IBL60" s="55"/>
      <c r="IBM60" s="58"/>
      <c r="IBN60" s="58"/>
      <c r="IBO60" s="58"/>
      <c r="IBP60" s="58"/>
      <c r="IBQ60" s="58"/>
      <c r="IBR60" s="58"/>
      <c r="IBS60" s="58"/>
      <c r="IBT60" s="14"/>
      <c r="IBU60" s="14"/>
      <c r="IBV60" s="14"/>
      <c r="IBW60" s="14"/>
      <c r="IBX60" s="54"/>
      <c r="IBY60" s="54"/>
      <c r="IBZ60" s="54"/>
      <c r="ICA60" s="54"/>
      <c r="ICB60" s="55"/>
      <c r="ICC60" s="55"/>
      <c r="ICD60" s="58"/>
      <c r="ICE60" s="58"/>
      <c r="ICF60" s="58"/>
      <c r="ICG60" s="58"/>
      <c r="ICH60" s="58"/>
      <c r="ICI60" s="58"/>
      <c r="ICJ60" s="58"/>
      <c r="ICK60" s="14"/>
      <c r="ICL60" s="14"/>
      <c r="ICM60" s="14"/>
      <c r="ICN60" s="14"/>
      <c r="ICO60" s="54"/>
      <c r="ICP60" s="54"/>
      <c r="ICQ60" s="54"/>
      <c r="ICR60" s="54"/>
      <c r="ICS60" s="55"/>
      <c r="ICT60" s="55"/>
      <c r="ICU60" s="58"/>
      <c r="ICV60" s="58"/>
      <c r="ICW60" s="58"/>
      <c r="ICX60" s="58"/>
      <c r="ICY60" s="58"/>
      <c r="ICZ60" s="58"/>
      <c r="IDA60" s="58"/>
      <c r="IDB60" s="14"/>
      <c r="IDC60" s="14"/>
      <c r="IDD60" s="14"/>
      <c r="IDE60" s="14"/>
      <c r="IDF60" s="54"/>
      <c r="IDG60" s="54"/>
      <c r="IDH60" s="54"/>
      <c r="IDI60" s="54"/>
      <c r="IDJ60" s="55"/>
      <c r="IDK60" s="55"/>
      <c r="IDL60" s="58"/>
      <c r="IDM60" s="58"/>
      <c r="IDN60" s="58"/>
      <c r="IDO60" s="58"/>
      <c r="IDP60" s="58"/>
      <c r="IDQ60" s="58"/>
      <c r="IDR60" s="58"/>
      <c r="IDS60" s="14"/>
      <c r="IDT60" s="14"/>
      <c r="IDU60" s="14"/>
      <c r="IDV60" s="14"/>
      <c r="IDW60" s="54"/>
      <c r="IDX60" s="54"/>
      <c r="IDY60" s="54"/>
      <c r="IDZ60" s="54"/>
      <c r="IEA60" s="55"/>
      <c r="IEB60" s="55"/>
      <c r="IEC60" s="58"/>
      <c r="IED60" s="58"/>
      <c r="IEE60" s="58"/>
      <c r="IEF60" s="58"/>
      <c r="IEG60" s="58"/>
      <c r="IEH60" s="58"/>
      <c r="IEI60" s="58"/>
      <c r="IEJ60" s="14"/>
      <c r="IEK60" s="14"/>
      <c r="IEL60" s="14"/>
      <c r="IEM60" s="14"/>
      <c r="IEN60" s="54"/>
      <c r="IEO60" s="54"/>
      <c r="IEP60" s="54"/>
      <c r="IEQ60" s="54"/>
      <c r="IER60" s="55"/>
      <c r="IES60" s="55"/>
      <c r="IET60" s="58"/>
      <c r="IEU60" s="58"/>
      <c r="IEV60" s="58"/>
      <c r="IEW60" s="58"/>
      <c r="IEX60" s="58"/>
      <c r="IEY60" s="58"/>
      <c r="IEZ60" s="58"/>
      <c r="IFA60" s="14"/>
      <c r="IFB60" s="14"/>
      <c r="IFC60" s="14"/>
      <c r="IFD60" s="14"/>
      <c r="IFE60" s="54"/>
      <c r="IFF60" s="54"/>
      <c r="IFG60" s="54"/>
      <c r="IFH60" s="54"/>
      <c r="IFI60" s="55"/>
      <c r="IFJ60" s="55"/>
      <c r="IFK60" s="58"/>
      <c r="IFL60" s="58"/>
      <c r="IFM60" s="58"/>
      <c r="IFN60" s="58"/>
      <c r="IFO60" s="58"/>
      <c r="IFP60" s="58"/>
      <c r="IFQ60" s="58"/>
      <c r="IFR60" s="14"/>
      <c r="IFS60" s="14"/>
      <c r="IFT60" s="14"/>
      <c r="IFU60" s="14"/>
      <c r="IFV60" s="54"/>
      <c r="IFW60" s="54"/>
      <c r="IFX60" s="54"/>
      <c r="IFY60" s="54"/>
      <c r="IFZ60" s="55"/>
      <c r="IGA60" s="55"/>
      <c r="IGB60" s="58"/>
      <c r="IGC60" s="58"/>
      <c r="IGD60" s="58"/>
      <c r="IGE60" s="58"/>
      <c r="IGF60" s="58"/>
      <c r="IGG60" s="58"/>
      <c r="IGH60" s="58"/>
      <c r="IGI60" s="14"/>
      <c r="IGJ60" s="14"/>
      <c r="IGK60" s="14"/>
      <c r="IGL60" s="14"/>
      <c r="IGM60" s="54"/>
      <c r="IGN60" s="54"/>
      <c r="IGO60" s="54"/>
      <c r="IGP60" s="54"/>
      <c r="IGQ60" s="55"/>
      <c r="IGR60" s="55"/>
      <c r="IGS60" s="58"/>
      <c r="IGT60" s="58"/>
      <c r="IGU60" s="58"/>
      <c r="IGV60" s="58"/>
      <c r="IGW60" s="58"/>
      <c r="IGX60" s="58"/>
      <c r="IGY60" s="58"/>
      <c r="IGZ60" s="14"/>
      <c r="IHA60" s="14"/>
      <c r="IHB60" s="14"/>
      <c r="IHC60" s="14"/>
      <c r="IHD60" s="54"/>
      <c r="IHE60" s="54"/>
      <c r="IHF60" s="54"/>
      <c r="IHG60" s="54"/>
      <c r="IHH60" s="55"/>
      <c r="IHI60" s="55"/>
      <c r="IHJ60" s="58"/>
      <c r="IHK60" s="58"/>
      <c r="IHL60" s="58"/>
      <c r="IHM60" s="58"/>
      <c r="IHN60" s="58"/>
      <c r="IHO60" s="58"/>
      <c r="IHP60" s="58"/>
      <c r="IHQ60" s="14"/>
      <c r="IHR60" s="14"/>
      <c r="IHS60" s="14"/>
      <c r="IHT60" s="14"/>
      <c r="IHU60" s="54"/>
      <c r="IHV60" s="54"/>
      <c r="IHW60" s="54"/>
      <c r="IHX60" s="54"/>
      <c r="IHY60" s="55"/>
      <c r="IHZ60" s="55"/>
      <c r="IIA60" s="58"/>
      <c r="IIB60" s="58"/>
      <c r="IIC60" s="58"/>
      <c r="IID60" s="58"/>
      <c r="IIE60" s="58"/>
      <c r="IIF60" s="58"/>
      <c r="IIG60" s="58"/>
      <c r="IIH60" s="14"/>
      <c r="III60" s="14"/>
      <c r="IIJ60" s="14"/>
      <c r="IIK60" s="14"/>
      <c r="IIL60" s="54"/>
      <c r="IIM60" s="54"/>
      <c r="IIN60" s="54"/>
      <c r="IIO60" s="54"/>
      <c r="IIP60" s="55"/>
      <c r="IIQ60" s="55"/>
      <c r="IIR60" s="58"/>
      <c r="IIS60" s="58"/>
      <c r="IIT60" s="58"/>
      <c r="IIU60" s="58"/>
      <c r="IIV60" s="58"/>
      <c r="IIW60" s="58"/>
      <c r="IIX60" s="58"/>
      <c r="IIY60" s="14"/>
      <c r="IIZ60" s="14"/>
      <c r="IJA60" s="14"/>
      <c r="IJB60" s="14"/>
      <c r="IJC60" s="54"/>
      <c r="IJD60" s="54"/>
      <c r="IJE60" s="54"/>
      <c r="IJF60" s="54"/>
      <c r="IJG60" s="55"/>
      <c r="IJH60" s="55"/>
      <c r="IJI60" s="58"/>
      <c r="IJJ60" s="58"/>
      <c r="IJK60" s="58"/>
      <c r="IJL60" s="58"/>
      <c r="IJM60" s="58"/>
      <c r="IJN60" s="58"/>
      <c r="IJO60" s="58"/>
      <c r="IJP60" s="14"/>
      <c r="IJQ60" s="14"/>
      <c r="IJR60" s="14"/>
      <c r="IJS60" s="14"/>
      <c r="IJT60" s="54"/>
      <c r="IJU60" s="54"/>
      <c r="IJV60" s="54"/>
      <c r="IJW60" s="54"/>
      <c r="IJX60" s="55"/>
      <c r="IJY60" s="55"/>
      <c r="IJZ60" s="58"/>
      <c r="IKA60" s="58"/>
      <c r="IKB60" s="58"/>
      <c r="IKC60" s="58"/>
      <c r="IKD60" s="58"/>
      <c r="IKE60" s="58"/>
      <c r="IKF60" s="58"/>
      <c r="IKG60" s="14"/>
      <c r="IKH60" s="14"/>
      <c r="IKI60" s="14"/>
      <c r="IKJ60" s="14"/>
      <c r="IKK60" s="54"/>
      <c r="IKL60" s="54"/>
      <c r="IKM60" s="54"/>
      <c r="IKN60" s="54"/>
      <c r="IKO60" s="55"/>
      <c r="IKP60" s="55"/>
      <c r="IKQ60" s="58"/>
      <c r="IKR60" s="58"/>
      <c r="IKS60" s="58"/>
      <c r="IKT60" s="58"/>
      <c r="IKU60" s="58"/>
      <c r="IKV60" s="58"/>
      <c r="IKW60" s="58"/>
      <c r="IKX60" s="14"/>
      <c r="IKY60" s="14"/>
      <c r="IKZ60" s="14"/>
      <c r="ILA60" s="14"/>
      <c r="ILB60" s="54"/>
      <c r="ILC60" s="54"/>
      <c r="ILD60" s="54"/>
      <c r="ILE60" s="54"/>
      <c r="ILF60" s="55"/>
      <c r="ILG60" s="55"/>
      <c r="ILH60" s="58"/>
      <c r="ILI60" s="58"/>
      <c r="ILJ60" s="58"/>
      <c r="ILK60" s="58"/>
      <c r="ILL60" s="58"/>
      <c r="ILM60" s="58"/>
      <c r="ILN60" s="58"/>
      <c r="ILO60" s="14"/>
      <c r="ILP60" s="14"/>
      <c r="ILQ60" s="14"/>
      <c r="ILR60" s="14"/>
      <c r="ILS60" s="54"/>
      <c r="ILT60" s="54"/>
      <c r="ILU60" s="54"/>
      <c r="ILV60" s="54"/>
      <c r="ILW60" s="55"/>
      <c r="ILX60" s="55"/>
      <c r="ILY60" s="58"/>
      <c r="ILZ60" s="58"/>
      <c r="IMA60" s="58"/>
      <c r="IMB60" s="58"/>
      <c r="IMC60" s="58"/>
      <c r="IMD60" s="58"/>
      <c r="IME60" s="58"/>
      <c r="IMF60" s="14"/>
      <c r="IMG60" s="14"/>
      <c r="IMH60" s="14"/>
      <c r="IMI60" s="14"/>
      <c r="IMJ60" s="54"/>
      <c r="IMK60" s="54"/>
      <c r="IML60" s="54"/>
      <c r="IMM60" s="54"/>
      <c r="IMN60" s="55"/>
      <c r="IMO60" s="55"/>
      <c r="IMP60" s="58"/>
      <c r="IMQ60" s="58"/>
      <c r="IMR60" s="58"/>
      <c r="IMS60" s="58"/>
      <c r="IMT60" s="58"/>
      <c r="IMU60" s="58"/>
      <c r="IMV60" s="58"/>
      <c r="IMW60" s="14"/>
      <c r="IMX60" s="14"/>
      <c r="IMY60" s="14"/>
      <c r="IMZ60" s="14"/>
      <c r="INA60" s="54"/>
      <c r="INB60" s="54"/>
      <c r="INC60" s="54"/>
      <c r="IND60" s="54"/>
      <c r="INE60" s="55"/>
      <c r="INF60" s="55"/>
      <c r="ING60" s="58"/>
      <c r="INH60" s="58"/>
      <c r="INI60" s="58"/>
      <c r="INJ60" s="58"/>
      <c r="INK60" s="58"/>
      <c r="INL60" s="58"/>
      <c r="INM60" s="58"/>
      <c r="INN60" s="14"/>
      <c r="INO60" s="14"/>
      <c r="INP60" s="14"/>
      <c r="INQ60" s="14"/>
      <c r="INR60" s="54"/>
      <c r="INS60" s="54"/>
      <c r="INT60" s="54"/>
      <c r="INU60" s="54"/>
      <c r="INV60" s="55"/>
      <c r="INW60" s="55"/>
      <c r="INX60" s="58"/>
      <c r="INY60" s="58"/>
      <c r="INZ60" s="58"/>
      <c r="IOA60" s="58"/>
      <c r="IOB60" s="58"/>
      <c r="IOC60" s="58"/>
      <c r="IOD60" s="58"/>
      <c r="IOE60" s="14"/>
      <c r="IOF60" s="14"/>
      <c r="IOG60" s="14"/>
      <c r="IOH60" s="14"/>
      <c r="IOI60" s="54"/>
      <c r="IOJ60" s="54"/>
      <c r="IOK60" s="54"/>
      <c r="IOL60" s="54"/>
      <c r="IOM60" s="55"/>
      <c r="ION60" s="55"/>
      <c r="IOO60" s="58"/>
      <c r="IOP60" s="58"/>
      <c r="IOQ60" s="58"/>
      <c r="IOR60" s="58"/>
      <c r="IOS60" s="58"/>
      <c r="IOT60" s="58"/>
      <c r="IOU60" s="58"/>
      <c r="IOV60" s="14"/>
      <c r="IOW60" s="14"/>
      <c r="IOX60" s="14"/>
      <c r="IOY60" s="14"/>
      <c r="IOZ60" s="54"/>
      <c r="IPA60" s="54"/>
      <c r="IPB60" s="54"/>
      <c r="IPC60" s="54"/>
      <c r="IPD60" s="55"/>
      <c r="IPE60" s="55"/>
      <c r="IPF60" s="58"/>
      <c r="IPG60" s="58"/>
      <c r="IPH60" s="58"/>
      <c r="IPI60" s="58"/>
      <c r="IPJ60" s="58"/>
      <c r="IPK60" s="58"/>
      <c r="IPL60" s="58"/>
      <c r="IPM60" s="14"/>
      <c r="IPN60" s="14"/>
      <c r="IPO60" s="14"/>
      <c r="IPP60" s="14"/>
      <c r="IPQ60" s="54"/>
      <c r="IPR60" s="54"/>
      <c r="IPS60" s="54"/>
      <c r="IPT60" s="54"/>
      <c r="IPU60" s="55"/>
      <c r="IPV60" s="55"/>
      <c r="IPW60" s="58"/>
      <c r="IPX60" s="58"/>
      <c r="IPY60" s="58"/>
      <c r="IPZ60" s="58"/>
      <c r="IQA60" s="58"/>
      <c r="IQB60" s="58"/>
      <c r="IQC60" s="58"/>
      <c r="IQD60" s="14"/>
      <c r="IQE60" s="14"/>
      <c r="IQF60" s="14"/>
      <c r="IQG60" s="14"/>
      <c r="IQH60" s="54"/>
      <c r="IQI60" s="54"/>
      <c r="IQJ60" s="54"/>
      <c r="IQK60" s="54"/>
      <c r="IQL60" s="55"/>
      <c r="IQM60" s="55"/>
      <c r="IQN60" s="58"/>
      <c r="IQO60" s="58"/>
      <c r="IQP60" s="58"/>
      <c r="IQQ60" s="58"/>
      <c r="IQR60" s="58"/>
      <c r="IQS60" s="58"/>
      <c r="IQT60" s="58"/>
      <c r="IQU60" s="14"/>
      <c r="IQV60" s="14"/>
      <c r="IQW60" s="14"/>
      <c r="IQX60" s="14"/>
      <c r="IQY60" s="54"/>
      <c r="IQZ60" s="54"/>
      <c r="IRA60" s="54"/>
      <c r="IRB60" s="54"/>
      <c r="IRC60" s="55"/>
      <c r="IRD60" s="55"/>
      <c r="IRE60" s="58"/>
      <c r="IRF60" s="58"/>
      <c r="IRG60" s="58"/>
      <c r="IRH60" s="58"/>
      <c r="IRI60" s="58"/>
      <c r="IRJ60" s="58"/>
      <c r="IRK60" s="58"/>
      <c r="IRL60" s="14"/>
      <c r="IRM60" s="14"/>
      <c r="IRN60" s="14"/>
      <c r="IRO60" s="14"/>
      <c r="IRP60" s="54"/>
      <c r="IRQ60" s="54"/>
      <c r="IRR60" s="54"/>
      <c r="IRS60" s="54"/>
      <c r="IRT60" s="55"/>
      <c r="IRU60" s="55"/>
      <c r="IRV60" s="58"/>
      <c r="IRW60" s="58"/>
      <c r="IRX60" s="58"/>
      <c r="IRY60" s="58"/>
      <c r="IRZ60" s="58"/>
      <c r="ISA60" s="58"/>
      <c r="ISB60" s="58"/>
      <c r="ISC60" s="14"/>
      <c r="ISD60" s="14"/>
      <c r="ISE60" s="14"/>
      <c r="ISF60" s="14"/>
      <c r="ISG60" s="54"/>
      <c r="ISH60" s="54"/>
      <c r="ISI60" s="54"/>
      <c r="ISJ60" s="54"/>
      <c r="ISK60" s="55"/>
      <c r="ISL60" s="55"/>
      <c r="ISM60" s="58"/>
      <c r="ISN60" s="58"/>
      <c r="ISO60" s="58"/>
      <c r="ISP60" s="58"/>
      <c r="ISQ60" s="58"/>
      <c r="ISR60" s="58"/>
      <c r="ISS60" s="58"/>
      <c r="IST60" s="14"/>
      <c r="ISU60" s="14"/>
      <c r="ISV60" s="14"/>
      <c r="ISW60" s="14"/>
      <c r="ISX60" s="54"/>
      <c r="ISY60" s="54"/>
      <c r="ISZ60" s="54"/>
      <c r="ITA60" s="54"/>
      <c r="ITB60" s="55"/>
      <c r="ITC60" s="55"/>
      <c r="ITD60" s="58"/>
      <c r="ITE60" s="58"/>
      <c r="ITF60" s="58"/>
      <c r="ITG60" s="58"/>
      <c r="ITH60" s="58"/>
      <c r="ITI60" s="58"/>
      <c r="ITJ60" s="58"/>
      <c r="ITK60" s="14"/>
      <c r="ITL60" s="14"/>
      <c r="ITM60" s="14"/>
      <c r="ITN60" s="14"/>
      <c r="ITO60" s="54"/>
      <c r="ITP60" s="54"/>
      <c r="ITQ60" s="54"/>
      <c r="ITR60" s="54"/>
      <c r="ITS60" s="55"/>
      <c r="ITT60" s="55"/>
      <c r="ITU60" s="58"/>
      <c r="ITV60" s="58"/>
      <c r="ITW60" s="58"/>
      <c r="ITX60" s="58"/>
      <c r="ITY60" s="58"/>
      <c r="ITZ60" s="58"/>
      <c r="IUA60" s="58"/>
      <c r="IUB60" s="14"/>
      <c r="IUC60" s="14"/>
      <c r="IUD60" s="14"/>
      <c r="IUE60" s="14"/>
      <c r="IUF60" s="54"/>
      <c r="IUG60" s="54"/>
      <c r="IUH60" s="54"/>
      <c r="IUI60" s="54"/>
      <c r="IUJ60" s="55"/>
      <c r="IUK60" s="55"/>
      <c r="IUL60" s="58"/>
      <c r="IUM60" s="58"/>
      <c r="IUN60" s="58"/>
      <c r="IUO60" s="58"/>
      <c r="IUP60" s="58"/>
      <c r="IUQ60" s="58"/>
      <c r="IUR60" s="58"/>
      <c r="IUS60" s="14"/>
      <c r="IUT60" s="14"/>
      <c r="IUU60" s="14"/>
      <c r="IUV60" s="14"/>
      <c r="IUW60" s="54"/>
      <c r="IUX60" s="54"/>
      <c r="IUY60" s="54"/>
      <c r="IUZ60" s="54"/>
      <c r="IVA60" s="55"/>
      <c r="IVB60" s="55"/>
      <c r="IVC60" s="58"/>
      <c r="IVD60" s="58"/>
      <c r="IVE60" s="58"/>
      <c r="IVF60" s="58"/>
      <c r="IVG60" s="58"/>
      <c r="IVH60" s="58"/>
      <c r="IVI60" s="58"/>
      <c r="IVJ60" s="14"/>
      <c r="IVK60" s="14"/>
      <c r="IVL60" s="14"/>
      <c r="IVM60" s="14"/>
      <c r="IVN60" s="54"/>
      <c r="IVO60" s="54"/>
      <c r="IVP60" s="54"/>
      <c r="IVQ60" s="54"/>
      <c r="IVR60" s="55"/>
      <c r="IVS60" s="55"/>
      <c r="IVT60" s="58"/>
      <c r="IVU60" s="58"/>
      <c r="IVV60" s="58"/>
      <c r="IVW60" s="58"/>
      <c r="IVX60" s="58"/>
      <c r="IVY60" s="58"/>
      <c r="IVZ60" s="58"/>
      <c r="IWA60" s="14"/>
      <c r="IWB60" s="14"/>
      <c r="IWC60" s="14"/>
      <c r="IWD60" s="14"/>
      <c r="IWE60" s="54"/>
      <c r="IWF60" s="54"/>
      <c r="IWG60" s="54"/>
      <c r="IWH60" s="54"/>
      <c r="IWI60" s="55"/>
      <c r="IWJ60" s="55"/>
      <c r="IWK60" s="58"/>
      <c r="IWL60" s="58"/>
      <c r="IWM60" s="58"/>
      <c r="IWN60" s="58"/>
      <c r="IWO60" s="58"/>
      <c r="IWP60" s="58"/>
      <c r="IWQ60" s="58"/>
      <c r="IWR60" s="14"/>
      <c r="IWS60" s="14"/>
      <c r="IWT60" s="14"/>
      <c r="IWU60" s="14"/>
      <c r="IWV60" s="54"/>
      <c r="IWW60" s="54"/>
      <c r="IWX60" s="54"/>
      <c r="IWY60" s="54"/>
      <c r="IWZ60" s="55"/>
      <c r="IXA60" s="55"/>
      <c r="IXB60" s="58"/>
      <c r="IXC60" s="58"/>
      <c r="IXD60" s="58"/>
      <c r="IXE60" s="58"/>
      <c r="IXF60" s="58"/>
      <c r="IXG60" s="58"/>
      <c r="IXH60" s="58"/>
      <c r="IXI60" s="14"/>
      <c r="IXJ60" s="14"/>
      <c r="IXK60" s="14"/>
      <c r="IXL60" s="14"/>
      <c r="IXM60" s="54"/>
      <c r="IXN60" s="54"/>
      <c r="IXO60" s="54"/>
      <c r="IXP60" s="54"/>
      <c r="IXQ60" s="55"/>
      <c r="IXR60" s="55"/>
      <c r="IXS60" s="58"/>
      <c r="IXT60" s="58"/>
      <c r="IXU60" s="58"/>
      <c r="IXV60" s="58"/>
      <c r="IXW60" s="58"/>
      <c r="IXX60" s="58"/>
      <c r="IXY60" s="58"/>
      <c r="IXZ60" s="14"/>
      <c r="IYA60" s="14"/>
      <c r="IYB60" s="14"/>
      <c r="IYC60" s="14"/>
      <c r="IYD60" s="54"/>
      <c r="IYE60" s="54"/>
      <c r="IYF60" s="54"/>
      <c r="IYG60" s="54"/>
      <c r="IYH60" s="55"/>
      <c r="IYI60" s="55"/>
      <c r="IYJ60" s="58"/>
      <c r="IYK60" s="58"/>
      <c r="IYL60" s="58"/>
      <c r="IYM60" s="58"/>
      <c r="IYN60" s="58"/>
      <c r="IYO60" s="58"/>
      <c r="IYP60" s="58"/>
      <c r="IYQ60" s="14"/>
      <c r="IYR60" s="14"/>
      <c r="IYS60" s="14"/>
      <c r="IYT60" s="14"/>
      <c r="IYU60" s="54"/>
      <c r="IYV60" s="54"/>
      <c r="IYW60" s="54"/>
      <c r="IYX60" s="54"/>
      <c r="IYY60" s="55"/>
      <c r="IYZ60" s="55"/>
      <c r="IZA60" s="58"/>
      <c r="IZB60" s="58"/>
      <c r="IZC60" s="58"/>
      <c r="IZD60" s="58"/>
      <c r="IZE60" s="58"/>
      <c r="IZF60" s="58"/>
      <c r="IZG60" s="58"/>
      <c r="IZH60" s="14"/>
      <c r="IZI60" s="14"/>
      <c r="IZJ60" s="14"/>
      <c r="IZK60" s="14"/>
      <c r="IZL60" s="54"/>
      <c r="IZM60" s="54"/>
      <c r="IZN60" s="54"/>
      <c r="IZO60" s="54"/>
      <c r="IZP60" s="55"/>
      <c r="IZQ60" s="55"/>
      <c r="IZR60" s="58"/>
      <c r="IZS60" s="58"/>
      <c r="IZT60" s="58"/>
      <c r="IZU60" s="58"/>
      <c r="IZV60" s="58"/>
      <c r="IZW60" s="58"/>
      <c r="IZX60" s="58"/>
      <c r="IZY60" s="14"/>
      <c r="IZZ60" s="14"/>
      <c r="JAA60" s="14"/>
      <c r="JAB60" s="14"/>
      <c r="JAC60" s="54"/>
      <c r="JAD60" s="54"/>
      <c r="JAE60" s="54"/>
      <c r="JAF60" s="54"/>
      <c r="JAG60" s="55"/>
      <c r="JAH60" s="55"/>
      <c r="JAI60" s="58"/>
      <c r="JAJ60" s="58"/>
      <c r="JAK60" s="58"/>
      <c r="JAL60" s="58"/>
      <c r="JAM60" s="58"/>
      <c r="JAN60" s="58"/>
      <c r="JAO60" s="58"/>
      <c r="JAP60" s="14"/>
      <c r="JAQ60" s="14"/>
      <c r="JAR60" s="14"/>
      <c r="JAS60" s="14"/>
      <c r="JAT60" s="54"/>
      <c r="JAU60" s="54"/>
      <c r="JAV60" s="54"/>
      <c r="JAW60" s="54"/>
      <c r="JAX60" s="55"/>
      <c r="JAY60" s="55"/>
      <c r="JAZ60" s="58"/>
      <c r="JBA60" s="58"/>
      <c r="JBB60" s="58"/>
      <c r="JBC60" s="58"/>
      <c r="JBD60" s="58"/>
      <c r="JBE60" s="58"/>
      <c r="JBF60" s="58"/>
      <c r="JBG60" s="14"/>
      <c r="JBH60" s="14"/>
      <c r="JBI60" s="14"/>
      <c r="JBJ60" s="14"/>
      <c r="JBK60" s="54"/>
      <c r="JBL60" s="54"/>
      <c r="JBM60" s="54"/>
      <c r="JBN60" s="54"/>
      <c r="JBO60" s="55"/>
      <c r="JBP60" s="55"/>
      <c r="JBQ60" s="58"/>
      <c r="JBR60" s="58"/>
      <c r="JBS60" s="58"/>
      <c r="JBT60" s="58"/>
      <c r="JBU60" s="58"/>
      <c r="JBV60" s="58"/>
      <c r="JBW60" s="58"/>
      <c r="JBX60" s="14"/>
      <c r="JBY60" s="14"/>
      <c r="JBZ60" s="14"/>
      <c r="JCA60" s="14"/>
      <c r="JCB60" s="54"/>
      <c r="JCC60" s="54"/>
      <c r="JCD60" s="54"/>
      <c r="JCE60" s="54"/>
      <c r="JCF60" s="55"/>
      <c r="JCG60" s="55"/>
      <c r="JCH60" s="58"/>
      <c r="JCI60" s="58"/>
      <c r="JCJ60" s="58"/>
      <c r="JCK60" s="58"/>
      <c r="JCL60" s="58"/>
      <c r="JCM60" s="58"/>
      <c r="JCN60" s="58"/>
      <c r="JCO60" s="14"/>
      <c r="JCP60" s="14"/>
      <c r="JCQ60" s="14"/>
      <c r="JCR60" s="14"/>
      <c r="JCS60" s="54"/>
      <c r="JCT60" s="54"/>
      <c r="JCU60" s="54"/>
      <c r="JCV60" s="54"/>
      <c r="JCW60" s="55"/>
      <c r="JCX60" s="55"/>
      <c r="JCY60" s="58"/>
      <c r="JCZ60" s="58"/>
      <c r="JDA60" s="58"/>
      <c r="JDB60" s="58"/>
      <c r="JDC60" s="58"/>
      <c r="JDD60" s="58"/>
      <c r="JDE60" s="58"/>
      <c r="JDF60" s="14"/>
      <c r="JDG60" s="14"/>
      <c r="JDH60" s="14"/>
      <c r="JDI60" s="14"/>
      <c r="JDJ60" s="54"/>
      <c r="JDK60" s="54"/>
      <c r="JDL60" s="54"/>
      <c r="JDM60" s="54"/>
      <c r="JDN60" s="55"/>
      <c r="JDO60" s="55"/>
      <c r="JDP60" s="58"/>
      <c r="JDQ60" s="58"/>
      <c r="JDR60" s="58"/>
      <c r="JDS60" s="58"/>
      <c r="JDT60" s="58"/>
      <c r="JDU60" s="58"/>
      <c r="JDV60" s="58"/>
      <c r="JDW60" s="14"/>
      <c r="JDX60" s="14"/>
      <c r="JDY60" s="14"/>
      <c r="JDZ60" s="14"/>
      <c r="JEA60" s="54"/>
      <c r="JEB60" s="54"/>
      <c r="JEC60" s="54"/>
      <c r="JED60" s="54"/>
      <c r="JEE60" s="55"/>
      <c r="JEF60" s="55"/>
      <c r="JEG60" s="58"/>
      <c r="JEH60" s="58"/>
      <c r="JEI60" s="58"/>
      <c r="JEJ60" s="58"/>
      <c r="JEK60" s="58"/>
      <c r="JEL60" s="58"/>
      <c r="JEM60" s="58"/>
      <c r="JEN60" s="14"/>
      <c r="JEO60" s="14"/>
      <c r="JEP60" s="14"/>
      <c r="JEQ60" s="14"/>
      <c r="JER60" s="54"/>
      <c r="JES60" s="54"/>
      <c r="JET60" s="54"/>
      <c r="JEU60" s="54"/>
      <c r="JEV60" s="55"/>
      <c r="JEW60" s="55"/>
      <c r="JEX60" s="58"/>
      <c r="JEY60" s="58"/>
      <c r="JEZ60" s="58"/>
      <c r="JFA60" s="58"/>
      <c r="JFB60" s="58"/>
      <c r="JFC60" s="58"/>
      <c r="JFD60" s="58"/>
      <c r="JFE60" s="14"/>
      <c r="JFF60" s="14"/>
      <c r="JFG60" s="14"/>
      <c r="JFH60" s="14"/>
      <c r="JFI60" s="54"/>
      <c r="JFJ60" s="54"/>
      <c r="JFK60" s="54"/>
      <c r="JFL60" s="54"/>
      <c r="JFM60" s="55"/>
      <c r="JFN60" s="55"/>
      <c r="JFO60" s="58"/>
      <c r="JFP60" s="58"/>
      <c r="JFQ60" s="58"/>
      <c r="JFR60" s="58"/>
      <c r="JFS60" s="58"/>
      <c r="JFT60" s="58"/>
      <c r="JFU60" s="58"/>
      <c r="JFV60" s="14"/>
      <c r="JFW60" s="14"/>
      <c r="JFX60" s="14"/>
      <c r="JFY60" s="14"/>
      <c r="JFZ60" s="54"/>
      <c r="JGA60" s="54"/>
      <c r="JGB60" s="54"/>
      <c r="JGC60" s="54"/>
      <c r="JGD60" s="55"/>
      <c r="JGE60" s="55"/>
      <c r="JGF60" s="58"/>
      <c r="JGG60" s="58"/>
      <c r="JGH60" s="58"/>
      <c r="JGI60" s="58"/>
      <c r="JGJ60" s="58"/>
      <c r="JGK60" s="58"/>
      <c r="JGL60" s="58"/>
      <c r="JGM60" s="14"/>
      <c r="JGN60" s="14"/>
      <c r="JGO60" s="14"/>
      <c r="JGP60" s="14"/>
      <c r="JGQ60" s="54"/>
      <c r="JGR60" s="54"/>
      <c r="JGS60" s="54"/>
      <c r="JGT60" s="54"/>
      <c r="JGU60" s="55"/>
      <c r="JGV60" s="55"/>
      <c r="JGW60" s="58"/>
      <c r="JGX60" s="58"/>
      <c r="JGY60" s="58"/>
      <c r="JGZ60" s="58"/>
      <c r="JHA60" s="58"/>
      <c r="JHB60" s="58"/>
      <c r="JHC60" s="58"/>
      <c r="JHD60" s="14"/>
      <c r="JHE60" s="14"/>
      <c r="JHF60" s="14"/>
      <c r="JHG60" s="14"/>
      <c r="JHH60" s="54"/>
      <c r="JHI60" s="54"/>
      <c r="JHJ60" s="54"/>
      <c r="JHK60" s="54"/>
      <c r="JHL60" s="55"/>
      <c r="JHM60" s="55"/>
      <c r="JHN60" s="58"/>
      <c r="JHO60" s="58"/>
      <c r="JHP60" s="58"/>
      <c r="JHQ60" s="58"/>
      <c r="JHR60" s="58"/>
      <c r="JHS60" s="58"/>
      <c r="JHT60" s="58"/>
      <c r="JHU60" s="14"/>
      <c r="JHV60" s="14"/>
      <c r="JHW60" s="14"/>
      <c r="JHX60" s="14"/>
      <c r="JHY60" s="54"/>
      <c r="JHZ60" s="54"/>
      <c r="JIA60" s="54"/>
      <c r="JIB60" s="54"/>
      <c r="JIC60" s="55"/>
      <c r="JID60" s="55"/>
      <c r="JIE60" s="58"/>
      <c r="JIF60" s="58"/>
      <c r="JIG60" s="58"/>
      <c r="JIH60" s="58"/>
      <c r="JII60" s="58"/>
      <c r="JIJ60" s="58"/>
      <c r="JIK60" s="58"/>
      <c r="JIL60" s="14"/>
      <c r="JIM60" s="14"/>
      <c r="JIN60" s="14"/>
      <c r="JIO60" s="14"/>
      <c r="JIP60" s="54"/>
      <c r="JIQ60" s="54"/>
      <c r="JIR60" s="54"/>
      <c r="JIS60" s="54"/>
      <c r="JIT60" s="55"/>
      <c r="JIU60" s="55"/>
      <c r="JIV60" s="58"/>
      <c r="JIW60" s="58"/>
      <c r="JIX60" s="58"/>
      <c r="JIY60" s="58"/>
      <c r="JIZ60" s="58"/>
      <c r="JJA60" s="58"/>
      <c r="JJB60" s="58"/>
      <c r="JJC60" s="14"/>
      <c r="JJD60" s="14"/>
      <c r="JJE60" s="14"/>
      <c r="JJF60" s="14"/>
      <c r="JJG60" s="54"/>
      <c r="JJH60" s="54"/>
      <c r="JJI60" s="54"/>
      <c r="JJJ60" s="54"/>
      <c r="JJK60" s="55"/>
      <c r="JJL60" s="55"/>
      <c r="JJM60" s="58"/>
      <c r="JJN60" s="58"/>
      <c r="JJO60" s="58"/>
      <c r="JJP60" s="58"/>
      <c r="JJQ60" s="58"/>
      <c r="JJR60" s="58"/>
      <c r="JJS60" s="58"/>
      <c r="JJT60" s="14"/>
      <c r="JJU60" s="14"/>
      <c r="JJV60" s="14"/>
      <c r="JJW60" s="14"/>
      <c r="JJX60" s="54"/>
      <c r="JJY60" s="54"/>
      <c r="JJZ60" s="54"/>
      <c r="JKA60" s="54"/>
      <c r="JKB60" s="55"/>
      <c r="JKC60" s="55"/>
      <c r="JKD60" s="58"/>
      <c r="JKE60" s="58"/>
      <c r="JKF60" s="58"/>
      <c r="JKG60" s="58"/>
      <c r="JKH60" s="58"/>
      <c r="JKI60" s="58"/>
      <c r="JKJ60" s="58"/>
      <c r="JKK60" s="14"/>
      <c r="JKL60" s="14"/>
      <c r="JKM60" s="14"/>
      <c r="JKN60" s="14"/>
      <c r="JKO60" s="54"/>
      <c r="JKP60" s="54"/>
      <c r="JKQ60" s="54"/>
      <c r="JKR60" s="54"/>
      <c r="JKS60" s="55"/>
      <c r="JKT60" s="55"/>
      <c r="JKU60" s="58"/>
      <c r="JKV60" s="58"/>
      <c r="JKW60" s="58"/>
      <c r="JKX60" s="58"/>
      <c r="JKY60" s="58"/>
      <c r="JKZ60" s="58"/>
      <c r="JLA60" s="58"/>
      <c r="JLB60" s="14"/>
      <c r="JLC60" s="14"/>
      <c r="JLD60" s="14"/>
      <c r="JLE60" s="14"/>
      <c r="JLF60" s="54"/>
      <c r="JLG60" s="54"/>
      <c r="JLH60" s="54"/>
      <c r="JLI60" s="54"/>
      <c r="JLJ60" s="55"/>
      <c r="JLK60" s="55"/>
      <c r="JLL60" s="58"/>
      <c r="JLM60" s="58"/>
      <c r="JLN60" s="58"/>
      <c r="JLO60" s="58"/>
      <c r="JLP60" s="58"/>
      <c r="JLQ60" s="58"/>
      <c r="JLR60" s="58"/>
      <c r="JLS60" s="14"/>
      <c r="JLT60" s="14"/>
      <c r="JLU60" s="14"/>
      <c r="JLV60" s="14"/>
      <c r="JLW60" s="54"/>
      <c r="JLX60" s="54"/>
      <c r="JLY60" s="54"/>
      <c r="JLZ60" s="54"/>
      <c r="JMA60" s="55"/>
      <c r="JMB60" s="55"/>
      <c r="JMC60" s="58"/>
      <c r="JMD60" s="58"/>
      <c r="JME60" s="58"/>
      <c r="JMF60" s="58"/>
      <c r="JMG60" s="58"/>
      <c r="JMH60" s="58"/>
      <c r="JMI60" s="58"/>
      <c r="JMJ60" s="14"/>
      <c r="JMK60" s="14"/>
      <c r="JML60" s="14"/>
      <c r="JMM60" s="14"/>
      <c r="JMN60" s="54"/>
      <c r="JMO60" s="54"/>
      <c r="JMP60" s="54"/>
      <c r="JMQ60" s="54"/>
      <c r="JMR60" s="55"/>
      <c r="JMS60" s="55"/>
      <c r="JMT60" s="58"/>
      <c r="JMU60" s="58"/>
      <c r="JMV60" s="58"/>
      <c r="JMW60" s="58"/>
      <c r="JMX60" s="58"/>
      <c r="JMY60" s="58"/>
      <c r="JMZ60" s="58"/>
      <c r="JNA60" s="14"/>
      <c r="JNB60" s="14"/>
      <c r="JNC60" s="14"/>
      <c r="JND60" s="14"/>
      <c r="JNE60" s="54"/>
      <c r="JNF60" s="54"/>
      <c r="JNG60" s="54"/>
      <c r="JNH60" s="54"/>
      <c r="JNI60" s="55"/>
      <c r="JNJ60" s="55"/>
      <c r="JNK60" s="58"/>
      <c r="JNL60" s="58"/>
      <c r="JNM60" s="58"/>
      <c r="JNN60" s="58"/>
      <c r="JNO60" s="58"/>
      <c r="JNP60" s="58"/>
      <c r="JNQ60" s="58"/>
      <c r="JNR60" s="14"/>
      <c r="JNS60" s="14"/>
      <c r="JNT60" s="14"/>
      <c r="JNU60" s="14"/>
      <c r="JNV60" s="54"/>
      <c r="JNW60" s="54"/>
      <c r="JNX60" s="54"/>
      <c r="JNY60" s="54"/>
      <c r="JNZ60" s="55"/>
      <c r="JOA60" s="55"/>
      <c r="JOB60" s="58"/>
      <c r="JOC60" s="58"/>
      <c r="JOD60" s="58"/>
      <c r="JOE60" s="58"/>
      <c r="JOF60" s="58"/>
      <c r="JOG60" s="58"/>
      <c r="JOH60" s="58"/>
      <c r="JOI60" s="14"/>
      <c r="JOJ60" s="14"/>
      <c r="JOK60" s="14"/>
      <c r="JOL60" s="14"/>
      <c r="JOM60" s="54"/>
      <c r="JON60" s="54"/>
      <c r="JOO60" s="54"/>
      <c r="JOP60" s="54"/>
      <c r="JOQ60" s="55"/>
      <c r="JOR60" s="55"/>
      <c r="JOS60" s="58"/>
      <c r="JOT60" s="58"/>
      <c r="JOU60" s="58"/>
      <c r="JOV60" s="58"/>
      <c r="JOW60" s="58"/>
      <c r="JOX60" s="58"/>
      <c r="JOY60" s="58"/>
      <c r="JOZ60" s="14"/>
      <c r="JPA60" s="14"/>
      <c r="JPB60" s="14"/>
      <c r="JPC60" s="14"/>
      <c r="JPD60" s="54"/>
      <c r="JPE60" s="54"/>
      <c r="JPF60" s="54"/>
      <c r="JPG60" s="54"/>
      <c r="JPH60" s="55"/>
      <c r="JPI60" s="55"/>
      <c r="JPJ60" s="58"/>
      <c r="JPK60" s="58"/>
      <c r="JPL60" s="58"/>
      <c r="JPM60" s="58"/>
      <c r="JPN60" s="58"/>
      <c r="JPO60" s="58"/>
      <c r="JPP60" s="58"/>
      <c r="JPQ60" s="14"/>
      <c r="JPR60" s="14"/>
      <c r="JPS60" s="14"/>
      <c r="JPT60" s="14"/>
      <c r="JPU60" s="54"/>
      <c r="JPV60" s="54"/>
      <c r="JPW60" s="54"/>
      <c r="JPX60" s="54"/>
      <c r="JPY60" s="55"/>
      <c r="JPZ60" s="55"/>
      <c r="JQA60" s="58"/>
      <c r="JQB60" s="58"/>
      <c r="JQC60" s="58"/>
      <c r="JQD60" s="58"/>
      <c r="JQE60" s="58"/>
      <c r="JQF60" s="58"/>
      <c r="JQG60" s="58"/>
      <c r="JQH60" s="14"/>
      <c r="JQI60" s="14"/>
      <c r="JQJ60" s="14"/>
      <c r="JQK60" s="14"/>
      <c r="JQL60" s="54"/>
      <c r="JQM60" s="54"/>
      <c r="JQN60" s="54"/>
      <c r="JQO60" s="54"/>
      <c r="JQP60" s="55"/>
      <c r="JQQ60" s="55"/>
      <c r="JQR60" s="58"/>
      <c r="JQS60" s="58"/>
      <c r="JQT60" s="58"/>
      <c r="JQU60" s="58"/>
      <c r="JQV60" s="58"/>
      <c r="JQW60" s="58"/>
      <c r="JQX60" s="58"/>
      <c r="JQY60" s="14"/>
      <c r="JQZ60" s="14"/>
      <c r="JRA60" s="14"/>
      <c r="JRB60" s="14"/>
      <c r="JRC60" s="54"/>
      <c r="JRD60" s="54"/>
      <c r="JRE60" s="54"/>
      <c r="JRF60" s="54"/>
      <c r="JRG60" s="55"/>
      <c r="JRH60" s="55"/>
      <c r="JRI60" s="58"/>
      <c r="JRJ60" s="58"/>
      <c r="JRK60" s="58"/>
      <c r="JRL60" s="58"/>
      <c r="JRM60" s="58"/>
      <c r="JRN60" s="58"/>
      <c r="JRO60" s="58"/>
      <c r="JRP60" s="14"/>
      <c r="JRQ60" s="14"/>
      <c r="JRR60" s="14"/>
      <c r="JRS60" s="14"/>
      <c r="JRT60" s="54"/>
      <c r="JRU60" s="54"/>
      <c r="JRV60" s="54"/>
      <c r="JRW60" s="54"/>
      <c r="JRX60" s="55"/>
      <c r="JRY60" s="55"/>
      <c r="JRZ60" s="58"/>
      <c r="JSA60" s="58"/>
      <c r="JSB60" s="58"/>
      <c r="JSC60" s="58"/>
      <c r="JSD60" s="58"/>
      <c r="JSE60" s="58"/>
      <c r="JSF60" s="58"/>
      <c r="JSG60" s="14"/>
      <c r="JSH60" s="14"/>
      <c r="JSI60" s="14"/>
      <c r="JSJ60" s="14"/>
      <c r="JSK60" s="54"/>
      <c r="JSL60" s="54"/>
      <c r="JSM60" s="54"/>
      <c r="JSN60" s="54"/>
      <c r="JSO60" s="55"/>
      <c r="JSP60" s="55"/>
      <c r="JSQ60" s="58"/>
      <c r="JSR60" s="58"/>
      <c r="JSS60" s="58"/>
      <c r="JST60" s="58"/>
      <c r="JSU60" s="58"/>
      <c r="JSV60" s="58"/>
      <c r="JSW60" s="58"/>
      <c r="JSX60" s="14"/>
      <c r="JSY60" s="14"/>
      <c r="JSZ60" s="14"/>
      <c r="JTA60" s="14"/>
      <c r="JTB60" s="54"/>
      <c r="JTC60" s="54"/>
      <c r="JTD60" s="54"/>
      <c r="JTE60" s="54"/>
      <c r="JTF60" s="55"/>
      <c r="JTG60" s="55"/>
      <c r="JTH60" s="58"/>
      <c r="JTI60" s="58"/>
      <c r="JTJ60" s="58"/>
      <c r="JTK60" s="58"/>
      <c r="JTL60" s="58"/>
      <c r="JTM60" s="58"/>
      <c r="JTN60" s="58"/>
      <c r="JTO60" s="14"/>
      <c r="JTP60" s="14"/>
      <c r="JTQ60" s="14"/>
      <c r="JTR60" s="14"/>
      <c r="JTS60" s="54"/>
      <c r="JTT60" s="54"/>
      <c r="JTU60" s="54"/>
      <c r="JTV60" s="54"/>
      <c r="JTW60" s="55"/>
      <c r="JTX60" s="55"/>
      <c r="JTY60" s="58"/>
      <c r="JTZ60" s="58"/>
      <c r="JUA60" s="58"/>
      <c r="JUB60" s="58"/>
      <c r="JUC60" s="58"/>
      <c r="JUD60" s="58"/>
      <c r="JUE60" s="58"/>
      <c r="JUF60" s="14"/>
      <c r="JUG60" s="14"/>
      <c r="JUH60" s="14"/>
      <c r="JUI60" s="14"/>
      <c r="JUJ60" s="54"/>
      <c r="JUK60" s="54"/>
      <c r="JUL60" s="54"/>
      <c r="JUM60" s="54"/>
      <c r="JUN60" s="55"/>
      <c r="JUO60" s="55"/>
      <c r="JUP60" s="58"/>
      <c r="JUQ60" s="58"/>
      <c r="JUR60" s="58"/>
      <c r="JUS60" s="58"/>
      <c r="JUT60" s="58"/>
      <c r="JUU60" s="58"/>
      <c r="JUV60" s="58"/>
      <c r="JUW60" s="14"/>
      <c r="JUX60" s="14"/>
      <c r="JUY60" s="14"/>
      <c r="JUZ60" s="14"/>
      <c r="JVA60" s="54"/>
      <c r="JVB60" s="54"/>
      <c r="JVC60" s="54"/>
      <c r="JVD60" s="54"/>
      <c r="JVE60" s="55"/>
      <c r="JVF60" s="55"/>
      <c r="JVG60" s="58"/>
      <c r="JVH60" s="58"/>
      <c r="JVI60" s="58"/>
      <c r="JVJ60" s="58"/>
      <c r="JVK60" s="58"/>
      <c r="JVL60" s="58"/>
      <c r="JVM60" s="58"/>
      <c r="JVN60" s="14"/>
      <c r="JVO60" s="14"/>
      <c r="JVP60" s="14"/>
      <c r="JVQ60" s="14"/>
      <c r="JVR60" s="54"/>
      <c r="JVS60" s="54"/>
      <c r="JVT60" s="54"/>
      <c r="JVU60" s="54"/>
      <c r="JVV60" s="55"/>
      <c r="JVW60" s="55"/>
      <c r="JVX60" s="58"/>
      <c r="JVY60" s="58"/>
      <c r="JVZ60" s="58"/>
      <c r="JWA60" s="58"/>
      <c r="JWB60" s="58"/>
      <c r="JWC60" s="58"/>
      <c r="JWD60" s="58"/>
      <c r="JWE60" s="14"/>
      <c r="JWF60" s="14"/>
      <c r="JWG60" s="14"/>
      <c r="JWH60" s="14"/>
      <c r="JWI60" s="54"/>
      <c r="JWJ60" s="54"/>
      <c r="JWK60" s="54"/>
      <c r="JWL60" s="54"/>
      <c r="JWM60" s="55"/>
      <c r="JWN60" s="55"/>
      <c r="JWO60" s="58"/>
      <c r="JWP60" s="58"/>
      <c r="JWQ60" s="58"/>
      <c r="JWR60" s="58"/>
      <c r="JWS60" s="58"/>
      <c r="JWT60" s="58"/>
      <c r="JWU60" s="58"/>
      <c r="JWV60" s="14"/>
      <c r="JWW60" s="14"/>
      <c r="JWX60" s="14"/>
      <c r="JWY60" s="14"/>
      <c r="JWZ60" s="54"/>
      <c r="JXA60" s="54"/>
      <c r="JXB60" s="54"/>
      <c r="JXC60" s="54"/>
      <c r="JXD60" s="55"/>
      <c r="JXE60" s="55"/>
      <c r="JXF60" s="58"/>
      <c r="JXG60" s="58"/>
      <c r="JXH60" s="58"/>
      <c r="JXI60" s="58"/>
      <c r="JXJ60" s="58"/>
      <c r="JXK60" s="58"/>
      <c r="JXL60" s="58"/>
      <c r="JXM60" s="14"/>
      <c r="JXN60" s="14"/>
      <c r="JXO60" s="14"/>
      <c r="JXP60" s="14"/>
      <c r="JXQ60" s="54"/>
      <c r="JXR60" s="54"/>
      <c r="JXS60" s="54"/>
      <c r="JXT60" s="54"/>
      <c r="JXU60" s="55"/>
      <c r="JXV60" s="55"/>
      <c r="JXW60" s="58"/>
      <c r="JXX60" s="58"/>
      <c r="JXY60" s="58"/>
      <c r="JXZ60" s="58"/>
      <c r="JYA60" s="58"/>
      <c r="JYB60" s="58"/>
      <c r="JYC60" s="58"/>
      <c r="JYD60" s="14"/>
      <c r="JYE60" s="14"/>
      <c r="JYF60" s="14"/>
      <c r="JYG60" s="14"/>
      <c r="JYH60" s="54"/>
      <c r="JYI60" s="54"/>
      <c r="JYJ60" s="54"/>
      <c r="JYK60" s="54"/>
      <c r="JYL60" s="55"/>
      <c r="JYM60" s="55"/>
      <c r="JYN60" s="58"/>
      <c r="JYO60" s="58"/>
      <c r="JYP60" s="58"/>
      <c r="JYQ60" s="58"/>
      <c r="JYR60" s="58"/>
      <c r="JYS60" s="58"/>
      <c r="JYT60" s="58"/>
      <c r="JYU60" s="14"/>
      <c r="JYV60" s="14"/>
      <c r="JYW60" s="14"/>
      <c r="JYX60" s="14"/>
      <c r="JYY60" s="54"/>
      <c r="JYZ60" s="54"/>
      <c r="JZA60" s="54"/>
      <c r="JZB60" s="54"/>
      <c r="JZC60" s="55"/>
      <c r="JZD60" s="55"/>
      <c r="JZE60" s="58"/>
      <c r="JZF60" s="58"/>
      <c r="JZG60" s="58"/>
      <c r="JZH60" s="58"/>
      <c r="JZI60" s="58"/>
      <c r="JZJ60" s="58"/>
      <c r="JZK60" s="58"/>
      <c r="JZL60" s="14"/>
      <c r="JZM60" s="14"/>
      <c r="JZN60" s="14"/>
      <c r="JZO60" s="14"/>
      <c r="JZP60" s="54"/>
      <c r="JZQ60" s="54"/>
      <c r="JZR60" s="54"/>
      <c r="JZS60" s="54"/>
      <c r="JZT60" s="55"/>
      <c r="JZU60" s="55"/>
      <c r="JZV60" s="58"/>
      <c r="JZW60" s="58"/>
      <c r="JZX60" s="58"/>
      <c r="JZY60" s="58"/>
      <c r="JZZ60" s="58"/>
      <c r="KAA60" s="58"/>
      <c r="KAB60" s="58"/>
      <c r="KAC60" s="14"/>
      <c r="KAD60" s="14"/>
      <c r="KAE60" s="14"/>
      <c r="KAF60" s="14"/>
      <c r="KAG60" s="54"/>
      <c r="KAH60" s="54"/>
      <c r="KAI60" s="54"/>
      <c r="KAJ60" s="54"/>
      <c r="KAK60" s="55"/>
      <c r="KAL60" s="55"/>
      <c r="KAM60" s="58"/>
      <c r="KAN60" s="58"/>
      <c r="KAO60" s="58"/>
      <c r="KAP60" s="58"/>
      <c r="KAQ60" s="58"/>
      <c r="KAR60" s="58"/>
      <c r="KAS60" s="58"/>
      <c r="KAT60" s="14"/>
      <c r="KAU60" s="14"/>
      <c r="KAV60" s="14"/>
      <c r="KAW60" s="14"/>
      <c r="KAX60" s="54"/>
      <c r="KAY60" s="54"/>
      <c r="KAZ60" s="54"/>
      <c r="KBA60" s="54"/>
      <c r="KBB60" s="55"/>
      <c r="KBC60" s="55"/>
      <c r="KBD60" s="58"/>
      <c r="KBE60" s="58"/>
      <c r="KBF60" s="58"/>
      <c r="KBG60" s="58"/>
      <c r="KBH60" s="58"/>
      <c r="KBI60" s="58"/>
      <c r="KBJ60" s="58"/>
      <c r="KBK60" s="14"/>
      <c r="KBL60" s="14"/>
      <c r="KBM60" s="14"/>
      <c r="KBN60" s="14"/>
      <c r="KBO60" s="54"/>
      <c r="KBP60" s="54"/>
      <c r="KBQ60" s="54"/>
      <c r="KBR60" s="54"/>
      <c r="KBS60" s="55"/>
      <c r="KBT60" s="55"/>
      <c r="KBU60" s="58"/>
      <c r="KBV60" s="58"/>
      <c r="KBW60" s="58"/>
      <c r="KBX60" s="58"/>
      <c r="KBY60" s="58"/>
      <c r="KBZ60" s="58"/>
      <c r="KCA60" s="58"/>
      <c r="KCB60" s="14"/>
      <c r="KCC60" s="14"/>
      <c r="KCD60" s="14"/>
      <c r="KCE60" s="14"/>
      <c r="KCF60" s="54"/>
      <c r="KCG60" s="54"/>
      <c r="KCH60" s="54"/>
      <c r="KCI60" s="54"/>
      <c r="KCJ60" s="55"/>
      <c r="KCK60" s="55"/>
      <c r="KCL60" s="58"/>
      <c r="KCM60" s="58"/>
      <c r="KCN60" s="58"/>
      <c r="KCO60" s="58"/>
      <c r="KCP60" s="58"/>
      <c r="KCQ60" s="58"/>
      <c r="KCR60" s="58"/>
      <c r="KCS60" s="14"/>
      <c r="KCT60" s="14"/>
      <c r="KCU60" s="14"/>
      <c r="KCV60" s="14"/>
      <c r="KCW60" s="54"/>
      <c r="KCX60" s="54"/>
      <c r="KCY60" s="54"/>
      <c r="KCZ60" s="54"/>
      <c r="KDA60" s="55"/>
      <c r="KDB60" s="55"/>
      <c r="KDC60" s="58"/>
      <c r="KDD60" s="58"/>
      <c r="KDE60" s="58"/>
      <c r="KDF60" s="58"/>
      <c r="KDG60" s="58"/>
      <c r="KDH60" s="58"/>
      <c r="KDI60" s="58"/>
      <c r="KDJ60" s="14"/>
      <c r="KDK60" s="14"/>
      <c r="KDL60" s="14"/>
      <c r="KDM60" s="14"/>
      <c r="KDN60" s="54"/>
      <c r="KDO60" s="54"/>
      <c r="KDP60" s="54"/>
      <c r="KDQ60" s="54"/>
      <c r="KDR60" s="55"/>
      <c r="KDS60" s="55"/>
      <c r="KDT60" s="58"/>
      <c r="KDU60" s="58"/>
      <c r="KDV60" s="58"/>
      <c r="KDW60" s="58"/>
      <c r="KDX60" s="58"/>
      <c r="KDY60" s="58"/>
      <c r="KDZ60" s="58"/>
      <c r="KEA60" s="14"/>
      <c r="KEB60" s="14"/>
      <c r="KEC60" s="14"/>
      <c r="KED60" s="14"/>
      <c r="KEE60" s="54"/>
      <c r="KEF60" s="54"/>
      <c r="KEG60" s="54"/>
      <c r="KEH60" s="54"/>
      <c r="KEI60" s="55"/>
      <c r="KEJ60" s="55"/>
      <c r="KEK60" s="58"/>
      <c r="KEL60" s="58"/>
      <c r="KEM60" s="58"/>
      <c r="KEN60" s="58"/>
      <c r="KEO60" s="58"/>
      <c r="KEP60" s="58"/>
      <c r="KEQ60" s="58"/>
      <c r="KER60" s="14"/>
      <c r="KES60" s="14"/>
      <c r="KET60" s="14"/>
      <c r="KEU60" s="14"/>
      <c r="KEV60" s="54"/>
      <c r="KEW60" s="54"/>
      <c r="KEX60" s="54"/>
      <c r="KEY60" s="54"/>
      <c r="KEZ60" s="55"/>
      <c r="KFA60" s="55"/>
      <c r="KFB60" s="58"/>
      <c r="KFC60" s="58"/>
      <c r="KFD60" s="58"/>
      <c r="KFE60" s="58"/>
      <c r="KFF60" s="58"/>
      <c r="KFG60" s="58"/>
      <c r="KFH60" s="58"/>
      <c r="KFI60" s="14"/>
      <c r="KFJ60" s="14"/>
      <c r="KFK60" s="14"/>
      <c r="KFL60" s="14"/>
      <c r="KFM60" s="54"/>
      <c r="KFN60" s="54"/>
      <c r="KFO60" s="54"/>
      <c r="KFP60" s="54"/>
      <c r="KFQ60" s="55"/>
      <c r="KFR60" s="55"/>
      <c r="KFS60" s="58"/>
      <c r="KFT60" s="58"/>
      <c r="KFU60" s="58"/>
      <c r="KFV60" s="58"/>
      <c r="KFW60" s="58"/>
      <c r="KFX60" s="58"/>
      <c r="KFY60" s="58"/>
      <c r="KFZ60" s="14"/>
      <c r="KGA60" s="14"/>
      <c r="KGB60" s="14"/>
      <c r="KGC60" s="14"/>
      <c r="KGD60" s="54"/>
      <c r="KGE60" s="54"/>
      <c r="KGF60" s="54"/>
      <c r="KGG60" s="54"/>
      <c r="KGH60" s="55"/>
      <c r="KGI60" s="55"/>
      <c r="KGJ60" s="58"/>
      <c r="KGK60" s="58"/>
      <c r="KGL60" s="58"/>
      <c r="KGM60" s="58"/>
      <c r="KGN60" s="58"/>
      <c r="KGO60" s="58"/>
      <c r="KGP60" s="58"/>
      <c r="KGQ60" s="14"/>
      <c r="KGR60" s="14"/>
      <c r="KGS60" s="14"/>
      <c r="KGT60" s="14"/>
      <c r="KGU60" s="54"/>
      <c r="KGV60" s="54"/>
      <c r="KGW60" s="54"/>
      <c r="KGX60" s="54"/>
      <c r="KGY60" s="55"/>
      <c r="KGZ60" s="55"/>
      <c r="KHA60" s="58"/>
      <c r="KHB60" s="58"/>
      <c r="KHC60" s="58"/>
      <c r="KHD60" s="58"/>
      <c r="KHE60" s="58"/>
      <c r="KHF60" s="58"/>
      <c r="KHG60" s="58"/>
      <c r="KHH60" s="14"/>
      <c r="KHI60" s="14"/>
      <c r="KHJ60" s="14"/>
      <c r="KHK60" s="14"/>
      <c r="KHL60" s="54"/>
      <c r="KHM60" s="54"/>
      <c r="KHN60" s="54"/>
      <c r="KHO60" s="54"/>
      <c r="KHP60" s="55"/>
      <c r="KHQ60" s="55"/>
      <c r="KHR60" s="58"/>
      <c r="KHS60" s="58"/>
      <c r="KHT60" s="58"/>
      <c r="KHU60" s="58"/>
      <c r="KHV60" s="58"/>
      <c r="KHW60" s="58"/>
      <c r="KHX60" s="58"/>
      <c r="KHY60" s="14"/>
      <c r="KHZ60" s="14"/>
      <c r="KIA60" s="14"/>
      <c r="KIB60" s="14"/>
      <c r="KIC60" s="54"/>
      <c r="KID60" s="54"/>
      <c r="KIE60" s="54"/>
      <c r="KIF60" s="54"/>
      <c r="KIG60" s="55"/>
      <c r="KIH60" s="55"/>
      <c r="KII60" s="58"/>
      <c r="KIJ60" s="58"/>
      <c r="KIK60" s="58"/>
      <c r="KIL60" s="58"/>
      <c r="KIM60" s="58"/>
      <c r="KIN60" s="58"/>
      <c r="KIO60" s="58"/>
      <c r="KIP60" s="14"/>
      <c r="KIQ60" s="14"/>
      <c r="KIR60" s="14"/>
      <c r="KIS60" s="14"/>
      <c r="KIT60" s="54"/>
      <c r="KIU60" s="54"/>
      <c r="KIV60" s="54"/>
      <c r="KIW60" s="54"/>
      <c r="KIX60" s="55"/>
      <c r="KIY60" s="55"/>
      <c r="KIZ60" s="58"/>
      <c r="KJA60" s="58"/>
      <c r="KJB60" s="58"/>
      <c r="KJC60" s="58"/>
      <c r="KJD60" s="58"/>
      <c r="KJE60" s="58"/>
      <c r="KJF60" s="58"/>
      <c r="KJG60" s="14"/>
      <c r="KJH60" s="14"/>
      <c r="KJI60" s="14"/>
      <c r="KJJ60" s="14"/>
      <c r="KJK60" s="54"/>
      <c r="KJL60" s="54"/>
      <c r="KJM60" s="54"/>
      <c r="KJN60" s="54"/>
      <c r="KJO60" s="55"/>
      <c r="KJP60" s="55"/>
      <c r="KJQ60" s="58"/>
      <c r="KJR60" s="58"/>
      <c r="KJS60" s="58"/>
      <c r="KJT60" s="58"/>
      <c r="KJU60" s="58"/>
      <c r="KJV60" s="58"/>
      <c r="KJW60" s="58"/>
      <c r="KJX60" s="14"/>
      <c r="KJY60" s="14"/>
      <c r="KJZ60" s="14"/>
      <c r="KKA60" s="14"/>
      <c r="KKB60" s="54"/>
      <c r="KKC60" s="54"/>
      <c r="KKD60" s="54"/>
      <c r="KKE60" s="54"/>
      <c r="KKF60" s="55"/>
      <c r="KKG60" s="55"/>
      <c r="KKH60" s="58"/>
      <c r="KKI60" s="58"/>
      <c r="KKJ60" s="58"/>
      <c r="KKK60" s="58"/>
      <c r="KKL60" s="58"/>
      <c r="KKM60" s="58"/>
      <c r="KKN60" s="58"/>
      <c r="KKO60" s="14"/>
      <c r="KKP60" s="14"/>
      <c r="KKQ60" s="14"/>
      <c r="KKR60" s="14"/>
      <c r="KKS60" s="54"/>
      <c r="KKT60" s="54"/>
      <c r="KKU60" s="54"/>
      <c r="KKV60" s="54"/>
      <c r="KKW60" s="55"/>
      <c r="KKX60" s="55"/>
      <c r="KKY60" s="58"/>
      <c r="KKZ60" s="58"/>
      <c r="KLA60" s="58"/>
      <c r="KLB60" s="58"/>
      <c r="KLC60" s="58"/>
      <c r="KLD60" s="58"/>
      <c r="KLE60" s="58"/>
      <c r="KLF60" s="14"/>
      <c r="KLG60" s="14"/>
      <c r="KLH60" s="14"/>
      <c r="KLI60" s="14"/>
      <c r="KLJ60" s="54"/>
      <c r="KLK60" s="54"/>
      <c r="KLL60" s="54"/>
      <c r="KLM60" s="54"/>
      <c r="KLN60" s="55"/>
      <c r="KLO60" s="55"/>
      <c r="KLP60" s="58"/>
      <c r="KLQ60" s="58"/>
      <c r="KLR60" s="58"/>
      <c r="KLS60" s="58"/>
      <c r="KLT60" s="58"/>
      <c r="KLU60" s="58"/>
      <c r="KLV60" s="58"/>
      <c r="KLW60" s="14"/>
      <c r="KLX60" s="14"/>
      <c r="KLY60" s="14"/>
      <c r="KLZ60" s="14"/>
      <c r="KMA60" s="54"/>
      <c r="KMB60" s="54"/>
      <c r="KMC60" s="54"/>
      <c r="KMD60" s="54"/>
      <c r="KME60" s="55"/>
      <c r="KMF60" s="55"/>
      <c r="KMG60" s="58"/>
      <c r="KMH60" s="58"/>
      <c r="KMI60" s="58"/>
      <c r="KMJ60" s="58"/>
      <c r="KMK60" s="58"/>
      <c r="KML60" s="58"/>
      <c r="KMM60" s="58"/>
      <c r="KMN60" s="14"/>
      <c r="KMO60" s="14"/>
      <c r="KMP60" s="14"/>
      <c r="KMQ60" s="14"/>
      <c r="KMR60" s="54"/>
      <c r="KMS60" s="54"/>
      <c r="KMT60" s="54"/>
      <c r="KMU60" s="54"/>
      <c r="KMV60" s="55"/>
      <c r="KMW60" s="55"/>
      <c r="KMX60" s="58"/>
      <c r="KMY60" s="58"/>
      <c r="KMZ60" s="58"/>
      <c r="KNA60" s="58"/>
      <c r="KNB60" s="58"/>
      <c r="KNC60" s="58"/>
      <c r="KND60" s="58"/>
      <c r="KNE60" s="14"/>
      <c r="KNF60" s="14"/>
      <c r="KNG60" s="14"/>
      <c r="KNH60" s="14"/>
      <c r="KNI60" s="54"/>
      <c r="KNJ60" s="54"/>
      <c r="KNK60" s="54"/>
      <c r="KNL60" s="54"/>
      <c r="KNM60" s="55"/>
      <c r="KNN60" s="55"/>
      <c r="KNO60" s="58"/>
      <c r="KNP60" s="58"/>
      <c r="KNQ60" s="58"/>
      <c r="KNR60" s="58"/>
      <c r="KNS60" s="58"/>
      <c r="KNT60" s="58"/>
      <c r="KNU60" s="58"/>
      <c r="KNV60" s="14"/>
      <c r="KNW60" s="14"/>
      <c r="KNX60" s="14"/>
      <c r="KNY60" s="14"/>
      <c r="KNZ60" s="54"/>
      <c r="KOA60" s="54"/>
      <c r="KOB60" s="54"/>
      <c r="KOC60" s="54"/>
      <c r="KOD60" s="55"/>
      <c r="KOE60" s="55"/>
      <c r="KOF60" s="58"/>
      <c r="KOG60" s="58"/>
      <c r="KOH60" s="58"/>
      <c r="KOI60" s="58"/>
      <c r="KOJ60" s="58"/>
      <c r="KOK60" s="58"/>
      <c r="KOL60" s="58"/>
      <c r="KOM60" s="14"/>
      <c r="KON60" s="14"/>
      <c r="KOO60" s="14"/>
      <c r="KOP60" s="14"/>
      <c r="KOQ60" s="54"/>
      <c r="KOR60" s="54"/>
      <c r="KOS60" s="54"/>
      <c r="KOT60" s="54"/>
      <c r="KOU60" s="55"/>
      <c r="KOV60" s="55"/>
      <c r="KOW60" s="58"/>
      <c r="KOX60" s="58"/>
      <c r="KOY60" s="58"/>
      <c r="KOZ60" s="58"/>
      <c r="KPA60" s="58"/>
      <c r="KPB60" s="58"/>
      <c r="KPC60" s="58"/>
      <c r="KPD60" s="14"/>
      <c r="KPE60" s="14"/>
      <c r="KPF60" s="14"/>
      <c r="KPG60" s="14"/>
      <c r="KPH60" s="54"/>
      <c r="KPI60" s="54"/>
      <c r="KPJ60" s="54"/>
      <c r="KPK60" s="54"/>
      <c r="KPL60" s="55"/>
      <c r="KPM60" s="55"/>
      <c r="KPN60" s="58"/>
      <c r="KPO60" s="58"/>
      <c r="KPP60" s="58"/>
      <c r="KPQ60" s="58"/>
      <c r="KPR60" s="58"/>
      <c r="KPS60" s="58"/>
      <c r="KPT60" s="58"/>
      <c r="KPU60" s="14"/>
      <c r="KPV60" s="14"/>
      <c r="KPW60" s="14"/>
      <c r="KPX60" s="14"/>
      <c r="KPY60" s="54"/>
      <c r="KPZ60" s="54"/>
      <c r="KQA60" s="54"/>
      <c r="KQB60" s="54"/>
      <c r="KQC60" s="55"/>
      <c r="KQD60" s="55"/>
      <c r="KQE60" s="58"/>
      <c r="KQF60" s="58"/>
      <c r="KQG60" s="58"/>
      <c r="KQH60" s="58"/>
      <c r="KQI60" s="58"/>
      <c r="KQJ60" s="58"/>
      <c r="KQK60" s="58"/>
      <c r="KQL60" s="14"/>
      <c r="KQM60" s="14"/>
      <c r="KQN60" s="14"/>
      <c r="KQO60" s="14"/>
      <c r="KQP60" s="54"/>
      <c r="KQQ60" s="54"/>
      <c r="KQR60" s="54"/>
      <c r="KQS60" s="54"/>
      <c r="KQT60" s="55"/>
      <c r="KQU60" s="55"/>
      <c r="KQV60" s="58"/>
      <c r="KQW60" s="58"/>
      <c r="KQX60" s="58"/>
      <c r="KQY60" s="58"/>
      <c r="KQZ60" s="58"/>
      <c r="KRA60" s="58"/>
      <c r="KRB60" s="58"/>
      <c r="KRC60" s="14"/>
      <c r="KRD60" s="14"/>
      <c r="KRE60" s="14"/>
      <c r="KRF60" s="14"/>
      <c r="KRG60" s="54"/>
      <c r="KRH60" s="54"/>
      <c r="KRI60" s="54"/>
      <c r="KRJ60" s="54"/>
      <c r="KRK60" s="55"/>
      <c r="KRL60" s="55"/>
      <c r="KRM60" s="58"/>
      <c r="KRN60" s="58"/>
      <c r="KRO60" s="58"/>
      <c r="KRP60" s="58"/>
      <c r="KRQ60" s="58"/>
      <c r="KRR60" s="58"/>
      <c r="KRS60" s="58"/>
      <c r="KRT60" s="14"/>
      <c r="KRU60" s="14"/>
      <c r="KRV60" s="14"/>
      <c r="KRW60" s="14"/>
      <c r="KRX60" s="54"/>
      <c r="KRY60" s="54"/>
      <c r="KRZ60" s="54"/>
      <c r="KSA60" s="54"/>
      <c r="KSB60" s="55"/>
      <c r="KSC60" s="55"/>
      <c r="KSD60" s="58"/>
      <c r="KSE60" s="58"/>
      <c r="KSF60" s="58"/>
      <c r="KSG60" s="58"/>
      <c r="KSH60" s="58"/>
      <c r="KSI60" s="58"/>
      <c r="KSJ60" s="58"/>
      <c r="KSK60" s="14"/>
      <c r="KSL60" s="14"/>
      <c r="KSM60" s="14"/>
      <c r="KSN60" s="14"/>
      <c r="KSO60" s="54"/>
      <c r="KSP60" s="54"/>
      <c r="KSQ60" s="54"/>
      <c r="KSR60" s="54"/>
      <c r="KSS60" s="55"/>
      <c r="KST60" s="55"/>
      <c r="KSU60" s="58"/>
      <c r="KSV60" s="58"/>
      <c r="KSW60" s="58"/>
      <c r="KSX60" s="58"/>
      <c r="KSY60" s="58"/>
      <c r="KSZ60" s="58"/>
      <c r="KTA60" s="58"/>
      <c r="KTB60" s="14"/>
      <c r="KTC60" s="14"/>
      <c r="KTD60" s="14"/>
      <c r="KTE60" s="14"/>
      <c r="KTF60" s="54"/>
      <c r="KTG60" s="54"/>
      <c r="KTH60" s="54"/>
      <c r="KTI60" s="54"/>
      <c r="KTJ60" s="55"/>
      <c r="KTK60" s="55"/>
      <c r="KTL60" s="58"/>
      <c r="KTM60" s="58"/>
      <c r="KTN60" s="58"/>
      <c r="KTO60" s="58"/>
      <c r="KTP60" s="58"/>
      <c r="KTQ60" s="58"/>
      <c r="KTR60" s="58"/>
      <c r="KTS60" s="14"/>
      <c r="KTT60" s="14"/>
      <c r="KTU60" s="14"/>
      <c r="KTV60" s="14"/>
      <c r="KTW60" s="54"/>
      <c r="KTX60" s="54"/>
      <c r="KTY60" s="54"/>
      <c r="KTZ60" s="54"/>
      <c r="KUA60" s="55"/>
      <c r="KUB60" s="55"/>
      <c r="KUC60" s="58"/>
      <c r="KUD60" s="58"/>
      <c r="KUE60" s="58"/>
      <c r="KUF60" s="58"/>
      <c r="KUG60" s="58"/>
      <c r="KUH60" s="58"/>
      <c r="KUI60" s="58"/>
      <c r="KUJ60" s="14"/>
      <c r="KUK60" s="14"/>
      <c r="KUL60" s="14"/>
      <c r="KUM60" s="14"/>
      <c r="KUN60" s="54"/>
      <c r="KUO60" s="54"/>
      <c r="KUP60" s="54"/>
      <c r="KUQ60" s="54"/>
      <c r="KUR60" s="55"/>
      <c r="KUS60" s="55"/>
      <c r="KUT60" s="58"/>
      <c r="KUU60" s="58"/>
      <c r="KUV60" s="58"/>
      <c r="KUW60" s="58"/>
      <c r="KUX60" s="58"/>
      <c r="KUY60" s="58"/>
      <c r="KUZ60" s="58"/>
      <c r="KVA60" s="14"/>
      <c r="KVB60" s="14"/>
      <c r="KVC60" s="14"/>
      <c r="KVD60" s="14"/>
      <c r="KVE60" s="54"/>
      <c r="KVF60" s="54"/>
      <c r="KVG60" s="54"/>
      <c r="KVH60" s="54"/>
      <c r="KVI60" s="55"/>
      <c r="KVJ60" s="55"/>
      <c r="KVK60" s="58"/>
      <c r="KVL60" s="58"/>
      <c r="KVM60" s="58"/>
      <c r="KVN60" s="58"/>
      <c r="KVO60" s="58"/>
      <c r="KVP60" s="58"/>
      <c r="KVQ60" s="58"/>
      <c r="KVR60" s="14"/>
      <c r="KVS60" s="14"/>
      <c r="KVT60" s="14"/>
      <c r="KVU60" s="14"/>
      <c r="KVV60" s="54"/>
      <c r="KVW60" s="54"/>
      <c r="KVX60" s="54"/>
      <c r="KVY60" s="54"/>
      <c r="KVZ60" s="55"/>
      <c r="KWA60" s="55"/>
      <c r="KWB60" s="58"/>
      <c r="KWC60" s="58"/>
      <c r="KWD60" s="58"/>
      <c r="KWE60" s="58"/>
      <c r="KWF60" s="58"/>
      <c r="KWG60" s="58"/>
      <c r="KWH60" s="58"/>
      <c r="KWI60" s="14"/>
      <c r="KWJ60" s="14"/>
      <c r="KWK60" s="14"/>
      <c r="KWL60" s="14"/>
      <c r="KWM60" s="54"/>
      <c r="KWN60" s="54"/>
      <c r="KWO60" s="54"/>
      <c r="KWP60" s="54"/>
      <c r="KWQ60" s="55"/>
      <c r="KWR60" s="55"/>
      <c r="KWS60" s="58"/>
      <c r="KWT60" s="58"/>
      <c r="KWU60" s="58"/>
      <c r="KWV60" s="58"/>
      <c r="KWW60" s="58"/>
      <c r="KWX60" s="58"/>
      <c r="KWY60" s="58"/>
      <c r="KWZ60" s="14"/>
      <c r="KXA60" s="14"/>
      <c r="KXB60" s="14"/>
      <c r="KXC60" s="14"/>
      <c r="KXD60" s="54"/>
      <c r="KXE60" s="54"/>
      <c r="KXF60" s="54"/>
      <c r="KXG60" s="54"/>
      <c r="KXH60" s="55"/>
      <c r="KXI60" s="55"/>
      <c r="KXJ60" s="58"/>
      <c r="KXK60" s="58"/>
      <c r="KXL60" s="58"/>
      <c r="KXM60" s="58"/>
      <c r="KXN60" s="58"/>
      <c r="KXO60" s="58"/>
      <c r="KXP60" s="58"/>
      <c r="KXQ60" s="14"/>
      <c r="KXR60" s="14"/>
      <c r="KXS60" s="14"/>
      <c r="KXT60" s="14"/>
      <c r="KXU60" s="54"/>
      <c r="KXV60" s="54"/>
      <c r="KXW60" s="54"/>
      <c r="KXX60" s="54"/>
      <c r="KXY60" s="55"/>
      <c r="KXZ60" s="55"/>
      <c r="KYA60" s="58"/>
      <c r="KYB60" s="58"/>
      <c r="KYC60" s="58"/>
      <c r="KYD60" s="58"/>
      <c r="KYE60" s="58"/>
      <c r="KYF60" s="58"/>
      <c r="KYG60" s="58"/>
      <c r="KYH60" s="14"/>
      <c r="KYI60" s="14"/>
      <c r="KYJ60" s="14"/>
      <c r="KYK60" s="14"/>
      <c r="KYL60" s="54"/>
      <c r="KYM60" s="54"/>
      <c r="KYN60" s="54"/>
      <c r="KYO60" s="54"/>
      <c r="KYP60" s="55"/>
      <c r="KYQ60" s="55"/>
      <c r="KYR60" s="58"/>
      <c r="KYS60" s="58"/>
      <c r="KYT60" s="58"/>
      <c r="KYU60" s="58"/>
      <c r="KYV60" s="58"/>
      <c r="KYW60" s="58"/>
      <c r="KYX60" s="58"/>
      <c r="KYY60" s="14"/>
      <c r="KYZ60" s="14"/>
      <c r="KZA60" s="14"/>
      <c r="KZB60" s="14"/>
      <c r="KZC60" s="54"/>
      <c r="KZD60" s="54"/>
      <c r="KZE60" s="54"/>
      <c r="KZF60" s="54"/>
      <c r="KZG60" s="55"/>
      <c r="KZH60" s="55"/>
      <c r="KZI60" s="58"/>
      <c r="KZJ60" s="58"/>
      <c r="KZK60" s="58"/>
      <c r="KZL60" s="58"/>
      <c r="KZM60" s="58"/>
      <c r="KZN60" s="58"/>
      <c r="KZO60" s="58"/>
      <c r="KZP60" s="14"/>
      <c r="KZQ60" s="14"/>
      <c r="KZR60" s="14"/>
      <c r="KZS60" s="14"/>
      <c r="KZT60" s="54"/>
      <c r="KZU60" s="54"/>
      <c r="KZV60" s="54"/>
      <c r="KZW60" s="54"/>
      <c r="KZX60" s="55"/>
      <c r="KZY60" s="55"/>
      <c r="KZZ60" s="58"/>
      <c r="LAA60" s="58"/>
      <c r="LAB60" s="58"/>
      <c r="LAC60" s="58"/>
      <c r="LAD60" s="58"/>
      <c r="LAE60" s="58"/>
      <c r="LAF60" s="58"/>
      <c r="LAG60" s="14"/>
      <c r="LAH60" s="14"/>
      <c r="LAI60" s="14"/>
      <c r="LAJ60" s="14"/>
      <c r="LAK60" s="54"/>
      <c r="LAL60" s="54"/>
      <c r="LAM60" s="54"/>
      <c r="LAN60" s="54"/>
      <c r="LAO60" s="55"/>
      <c r="LAP60" s="55"/>
      <c r="LAQ60" s="58"/>
      <c r="LAR60" s="58"/>
      <c r="LAS60" s="58"/>
      <c r="LAT60" s="58"/>
      <c r="LAU60" s="58"/>
      <c r="LAV60" s="58"/>
      <c r="LAW60" s="58"/>
      <c r="LAX60" s="14"/>
      <c r="LAY60" s="14"/>
      <c r="LAZ60" s="14"/>
      <c r="LBA60" s="14"/>
      <c r="LBB60" s="54"/>
      <c r="LBC60" s="54"/>
      <c r="LBD60" s="54"/>
      <c r="LBE60" s="54"/>
      <c r="LBF60" s="55"/>
      <c r="LBG60" s="55"/>
      <c r="LBH60" s="58"/>
      <c r="LBI60" s="58"/>
      <c r="LBJ60" s="58"/>
      <c r="LBK60" s="58"/>
      <c r="LBL60" s="58"/>
      <c r="LBM60" s="58"/>
      <c r="LBN60" s="58"/>
      <c r="LBO60" s="14"/>
      <c r="LBP60" s="14"/>
      <c r="LBQ60" s="14"/>
      <c r="LBR60" s="14"/>
      <c r="LBS60" s="54"/>
      <c r="LBT60" s="54"/>
      <c r="LBU60" s="54"/>
      <c r="LBV60" s="54"/>
      <c r="LBW60" s="55"/>
      <c r="LBX60" s="55"/>
      <c r="LBY60" s="58"/>
      <c r="LBZ60" s="58"/>
      <c r="LCA60" s="58"/>
      <c r="LCB60" s="58"/>
      <c r="LCC60" s="58"/>
      <c r="LCD60" s="58"/>
      <c r="LCE60" s="58"/>
      <c r="LCF60" s="14"/>
      <c r="LCG60" s="14"/>
      <c r="LCH60" s="14"/>
      <c r="LCI60" s="14"/>
      <c r="LCJ60" s="54"/>
      <c r="LCK60" s="54"/>
      <c r="LCL60" s="54"/>
      <c r="LCM60" s="54"/>
      <c r="LCN60" s="55"/>
      <c r="LCO60" s="55"/>
      <c r="LCP60" s="58"/>
      <c r="LCQ60" s="58"/>
      <c r="LCR60" s="58"/>
      <c r="LCS60" s="58"/>
      <c r="LCT60" s="58"/>
      <c r="LCU60" s="58"/>
      <c r="LCV60" s="58"/>
      <c r="LCW60" s="14"/>
      <c r="LCX60" s="14"/>
      <c r="LCY60" s="14"/>
      <c r="LCZ60" s="14"/>
      <c r="LDA60" s="54"/>
      <c r="LDB60" s="54"/>
      <c r="LDC60" s="54"/>
      <c r="LDD60" s="54"/>
      <c r="LDE60" s="55"/>
      <c r="LDF60" s="55"/>
      <c r="LDG60" s="58"/>
      <c r="LDH60" s="58"/>
      <c r="LDI60" s="58"/>
      <c r="LDJ60" s="58"/>
      <c r="LDK60" s="58"/>
      <c r="LDL60" s="58"/>
      <c r="LDM60" s="58"/>
      <c r="LDN60" s="14"/>
      <c r="LDO60" s="14"/>
      <c r="LDP60" s="14"/>
      <c r="LDQ60" s="14"/>
      <c r="LDR60" s="54"/>
      <c r="LDS60" s="54"/>
      <c r="LDT60" s="54"/>
      <c r="LDU60" s="54"/>
      <c r="LDV60" s="55"/>
      <c r="LDW60" s="55"/>
      <c r="LDX60" s="58"/>
      <c r="LDY60" s="58"/>
      <c r="LDZ60" s="58"/>
      <c r="LEA60" s="58"/>
      <c r="LEB60" s="58"/>
      <c r="LEC60" s="58"/>
      <c r="LED60" s="58"/>
      <c r="LEE60" s="14"/>
      <c r="LEF60" s="14"/>
      <c r="LEG60" s="14"/>
      <c r="LEH60" s="14"/>
      <c r="LEI60" s="54"/>
      <c r="LEJ60" s="54"/>
      <c r="LEK60" s="54"/>
      <c r="LEL60" s="54"/>
      <c r="LEM60" s="55"/>
      <c r="LEN60" s="55"/>
      <c r="LEO60" s="58"/>
      <c r="LEP60" s="58"/>
      <c r="LEQ60" s="58"/>
      <c r="LER60" s="58"/>
      <c r="LES60" s="58"/>
      <c r="LET60" s="58"/>
      <c r="LEU60" s="58"/>
      <c r="LEV60" s="14"/>
      <c r="LEW60" s="14"/>
      <c r="LEX60" s="14"/>
      <c r="LEY60" s="14"/>
      <c r="LEZ60" s="54"/>
      <c r="LFA60" s="54"/>
      <c r="LFB60" s="54"/>
      <c r="LFC60" s="54"/>
      <c r="LFD60" s="55"/>
      <c r="LFE60" s="55"/>
      <c r="LFF60" s="58"/>
      <c r="LFG60" s="58"/>
      <c r="LFH60" s="58"/>
      <c r="LFI60" s="58"/>
      <c r="LFJ60" s="58"/>
      <c r="LFK60" s="58"/>
      <c r="LFL60" s="58"/>
      <c r="LFM60" s="14"/>
      <c r="LFN60" s="14"/>
      <c r="LFO60" s="14"/>
      <c r="LFP60" s="14"/>
      <c r="LFQ60" s="54"/>
      <c r="LFR60" s="54"/>
      <c r="LFS60" s="54"/>
      <c r="LFT60" s="54"/>
      <c r="LFU60" s="55"/>
      <c r="LFV60" s="55"/>
      <c r="LFW60" s="58"/>
      <c r="LFX60" s="58"/>
      <c r="LFY60" s="58"/>
      <c r="LFZ60" s="58"/>
      <c r="LGA60" s="58"/>
      <c r="LGB60" s="58"/>
      <c r="LGC60" s="58"/>
      <c r="LGD60" s="14"/>
      <c r="LGE60" s="14"/>
      <c r="LGF60" s="14"/>
      <c r="LGG60" s="14"/>
      <c r="LGH60" s="54"/>
      <c r="LGI60" s="54"/>
      <c r="LGJ60" s="54"/>
      <c r="LGK60" s="54"/>
      <c r="LGL60" s="55"/>
      <c r="LGM60" s="55"/>
      <c r="LGN60" s="58"/>
      <c r="LGO60" s="58"/>
      <c r="LGP60" s="58"/>
      <c r="LGQ60" s="58"/>
      <c r="LGR60" s="58"/>
      <c r="LGS60" s="58"/>
      <c r="LGT60" s="58"/>
      <c r="LGU60" s="14"/>
      <c r="LGV60" s="14"/>
      <c r="LGW60" s="14"/>
      <c r="LGX60" s="14"/>
      <c r="LGY60" s="54"/>
      <c r="LGZ60" s="54"/>
      <c r="LHA60" s="54"/>
      <c r="LHB60" s="54"/>
      <c r="LHC60" s="55"/>
      <c r="LHD60" s="55"/>
      <c r="LHE60" s="58"/>
      <c r="LHF60" s="58"/>
      <c r="LHG60" s="58"/>
      <c r="LHH60" s="58"/>
      <c r="LHI60" s="58"/>
      <c r="LHJ60" s="58"/>
      <c r="LHK60" s="58"/>
      <c r="LHL60" s="14"/>
      <c r="LHM60" s="14"/>
      <c r="LHN60" s="14"/>
      <c r="LHO60" s="14"/>
      <c r="LHP60" s="54"/>
      <c r="LHQ60" s="54"/>
      <c r="LHR60" s="54"/>
      <c r="LHS60" s="54"/>
      <c r="LHT60" s="55"/>
      <c r="LHU60" s="55"/>
      <c r="LHV60" s="58"/>
      <c r="LHW60" s="58"/>
      <c r="LHX60" s="58"/>
      <c r="LHY60" s="58"/>
      <c r="LHZ60" s="58"/>
      <c r="LIA60" s="58"/>
      <c r="LIB60" s="58"/>
      <c r="LIC60" s="14"/>
      <c r="LID60" s="14"/>
      <c r="LIE60" s="14"/>
      <c r="LIF60" s="14"/>
      <c r="LIG60" s="54"/>
      <c r="LIH60" s="54"/>
      <c r="LII60" s="54"/>
      <c r="LIJ60" s="54"/>
      <c r="LIK60" s="55"/>
      <c r="LIL60" s="55"/>
      <c r="LIM60" s="58"/>
      <c r="LIN60" s="58"/>
      <c r="LIO60" s="58"/>
      <c r="LIP60" s="58"/>
      <c r="LIQ60" s="58"/>
      <c r="LIR60" s="58"/>
      <c r="LIS60" s="58"/>
      <c r="LIT60" s="14"/>
      <c r="LIU60" s="14"/>
      <c r="LIV60" s="14"/>
      <c r="LIW60" s="14"/>
      <c r="LIX60" s="54"/>
      <c r="LIY60" s="54"/>
      <c r="LIZ60" s="54"/>
      <c r="LJA60" s="54"/>
      <c r="LJB60" s="55"/>
      <c r="LJC60" s="55"/>
      <c r="LJD60" s="58"/>
      <c r="LJE60" s="58"/>
      <c r="LJF60" s="58"/>
      <c r="LJG60" s="58"/>
      <c r="LJH60" s="58"/>
      <c r="LJI60" s="58"/>
      <c r="LJJ60" s="58"/>
      <c r="LJK60" s="14"/>
      <c r="LJL60" s="14"/>
      <c r="LJM60" s="14"/>
      <c r="LJN60" s="14"/>
      <c r="LJO60" s="54"/>
      <c r="LJP60" s="54"/>
      <c r="LJQ60" s="54"/>
      <c r="LJR60" s="54"/>
      <c r="LJS60" s="55"/>
      <c r="LJT60" s="55"/>
      <c r="LJU60" s="58"/>
      <c r="LJV60" s="58"/>
      <c r="LJW60" s="58"/>
      <c r="LJX60" s="58"/>
      <c r="LJY60" s="58"/>
      <c r="LJZ60" s="58"/>
      <c r="LKA60" s="58"/>
      <c r="LKB60" s="14"/>
      <c r="LKC60" s="14"/>
      <c r="LKD60" s="14"/>
      <c r="LKE60" s="14"/>
      <c r="LKF60" s="54"/>
      <c r="LKG60" s="54"/>
      <c r="LKH60" s="54"/>
      <c r="LKI60" s="54"/>
      <c r="LKJ60" s="55"/>
      <c r="LKK60" s="55"/>
      <c r="LKL60" s="58"/>
      <c r="LKM60" s="58"/>
      <c r="LKN60" s="58"/>
      <c r="LKO60" s="58"/>
      <c r="LKP60" s="58"/>
      <c r="LKQ60" s="58"/>
      <c r="LKR60" s="58"/>
      <c r="LKS60" s="14"/>
      <c r="LKT60" s="14"/>
      <c r="LKU60" s="14"/>
      <c r="LKV60" s="14"/>
      <c r="LKW60" s="54"/>
      <c r="LKX60" s="54"/>
      <c r="LKY60" s="54"/>
      <c r="LKZ60" s="54"/>
      <c r="LLA60" s="55"/>
      <c r="LLB60" s="55"/>
      <c r="LLC60" s="58"/>
      <c r="LLD60" s="58"/>
      <c r="LLE60" s="58"/>
      <c r="LLF60" s="58"/>
      <c r="LLG60" s="58"/>
      <c r="LLH60" s="58"/>
      <c r="LLI60" s="58"/>
      <c r="LLJ60" s="14"/>
      <c r="LLK60" s="14"/>
      <c r="LLL60" s="14"/>
      <c r="LLM60" s="14"/>
      <c r="LLN60" s="54"/>
      <c r="LLO60" s="54"/>
      <c r="LLP60" s="54"/>
      <c r="LLQ60" s="54"/>
      <c r="LLR60" s="55"/>
      <c r="LLS60" s="55"/>
      <c r="LLT60" s="58"/>
      <c r="LLU60" s="58"/>
      <c r="LLV60" s="58"/>
      <c r="LLW60" s="58"/>
      <c r="LLX60" s="58"/>
      <c r="LLY60" s="58"/>
      <c r="LLZ60" s="58"/>
      <c r="LMA60" s="14"/>
      <c r="LMB60" s="14"/>
      <c r="LMC60" s="14"/>
      <c r="LMD60" s="14"/>
      <c r="LME60" s="54"/>
      <c r="LMF60" s="54"/>
      <c r="LMG60" s="54"/>
      <c r="LMH60" s="54"/>
      <c r="LMI60" s="55"/>
      <c r="LMJ60" s="55"/>
      <c r="LMK60" s="58"/>
      <c r="LML60" s="58"/>
      <c r="LMM60" s="58"/>
      <c r="LMN60" s="58"/>
      <c r="LMO60" s="58"/>
      <c r="LMP60" s="58"/>
      <c r="LMQ60" s="58"/>
      <c r="LMR60" s="14"/>
      <c r="LMS60" s="14"/>
      <c r="LMT60" s="14"/>
      <c r="LMU60" s="14"/>
      <c r="LMV60" s="54"/>
      <c r="LMW60" s="54"/>
      <c r="LMX60" s="54"/>
      <c r="LMY60" s="54"/>
      <c r="LMZ60" s="55"/>
      <c r="LNA60" s="55"/>
      <c r="LNB60" s="58"/>
      <c r="LNC60" s="58"/>
      <c r="LND60" s="58"/>
      <c r="LNE60" s="58"/>
      <c r="LNF60" s="58"/>
      <c r="LNG60" s="58"/>
      <c r="LNH60" s="58"/>
      <c r="LNI60" s="14"/>
      <c r="LNJ60" s="14"/>
      <c r="LNK60" s="14"/>
      <c r="LNL60" s="14"/>
      <c r="LNM60" s="54"/>
      <c r="LNN60" s="54"/>
      <c r="LNO60" s="54"/>
      <c r="LNP60" s="54"/>
      <c r="LNQ60" s="55"/>
      <c r="LNR60" s="55"/>
      <c r="LNS60" s="58"/>
      <c r="LNT60" s="58"/>
      <c r="LNU60" s="58"/>
      <c r="LNV60" s="58"/>
      <c r="LNW60" s="58"/>
      <c r="LNX60" s="58"/>
      <c r="LNY60" s="58"/>
      <c r="LNZ60" s="14"/>
      <c r="LOA60" s="14"/>
      <c r="LOB60" s="14"/>
      <c r="LOC60" s="14"/>
      <c r="LOD60" s="54"/>
      <c r="LOE60" s="54"/>
      <c r="LOF60" s="54"/>
      <c r="LOG60" s="54"/>
      <c r="LOH60" s="55"/>
      <c r="LOI60" s="55"/>
      <c r="LOJ60" s="58"/>
      <c r="LOK60" s="58"/>
      <c r="LOL60" s="58"/>
      <c r="LOM60" s="58"/>
      <c r="LON60" s="58"/>
      <c r="LOO60" s="58"/>
      <c r="LOP60" s="58"/>
      <c r="LOQ60" s="14"/>
      <c r="LOR60" s="14"/>
      <c r="LOS60" s="14"/>
      <c r="LOT60" s="14"/>
      <c r="LOU60" s="54"/>
      <c r="LOV60" s="54"/>
      <c r="LOW60" s="54"/>
      <c r="LOX60" s="54"/>
      <c r="LOY60" s="55"/>
      <c r="LOZ60" s="55"/>
      <c r="LPA60" s="58"/>
      <c r="LPB60" s="58"/>
      <c r="LPC60" s="58"/>
      <c r="LPD60" s="58"/>
      <c r="LPE60" s="58"/>
      <c r="LPF60" s="58"/>
      <c r="LPG60" s="58"/>
      <c r="LPH60" s="14"/>
      <c r="LPI60" s="14"/>
      <c r="LPJ60" s="14"/>
      <c r="LPK60" s="14"/>
      <c r="LPL60" s="54"/>
      <c r="LPM60" s="54"/>
      <c r="LPN60" s="54"/>
      <c r="LPO60" s="54"/>
      <c r="LPP60" s="55"/>
      <c r="LPQ60" s="55"/>
      <c r="LPR60" s="58"/>
      <c r="LPS60" s="58"/>
      <c r="LPT60" s="58"/>
      <c r="LPU60" s="58"/>
      <c r="LPV60" s="58"/>
      <c r="LPW60" s="58"/>
      <c r="LPX60" s="58"/>
      <c r="LPY60" s="14"/>
      <c r="LPZ60" s="14"/>
      <c r="LQA60" s="14"/>
      <c r="LQB60" s="14"/>
      <c r="LQC60" s="54"/>
      <c r="LQD60" s="54"/>
      <c r="LQE60" s="54"/>
      <c r="LQF60" s="54"/>
      <c r="LQG60" s="55"/>
      <c r="LQH60" s="55"/>
      <c r="LQI60" s="58"/>
      <c r="LQJ60" s="58"/>
      <c r="LQK60" s="58"/>
      <c r="LQL60" s="58"/>
      <c r="LQM60" s="58"/>
      <c r="LQN60" s="58"/>
      <c r="LQO60" s="58"/>
      <c r="LQP60" s="14"/>
      <c r="LQQ60" s="14"/>
      <c r="LQR60" s="14"/>
      <c r="LQS60" s="14"/>
      <c r="LQT60" s="54"/>
      <c r="LQU60" s="54"/>
      <c r="LQV60" s="54"/>
      <c r="LQW60" s="54"/>
      <c r="LQX60" s="55"/>
      <c r="LQY60" s="55"/>
      <c r="LQZ60" s="58"/>
      <c r="LRA60" s="58"/>
      <c r="LRB60" s="58"/>
      <c r="LRC60" s="58"/>
      <c r="LRD60" s="58"/>
      <c r="LRE60" s="58"/>
      <c r="LRF60" s="58"/>
      <c r="LRG60" s="14"/>
      <c r="LRH60" s="14"/>
      <c r="LRI60" s="14"/>
      <c r="LRJ60" s="14"/>
      <c r="LRK60" s="54"/>
      <c r="LRL60" s="54"/>
      <c r="LRM60" s="54"/>
      <c r="LRN60" s="54"/>
      <c r="LRO60" s="55"/>
      <c r="LRP60" s="55"/>
      <c r="LRQ60" s="58"/>
      <c r="LRR60" s="58"/>
      <c r="LRS60" s="58"/>
      <c r="LRT60" s="58"/>
      <c r="LRU60" s="58"/>
      <c r="LRV60" s="58"/>
      <c r="LRW60" s="58"/>
      <c r="LRX60" s="14"/>
      <c r="LRY60" s="14"/>
      <c r="LRZ60" s="14"/>
      <c r="LSA60" s="14"/>
      <c r="LSB60" s="54"/>
      <c r="LSC60" s="54"/>
      <c r="LSD60" s="54"/>
      <c r="LSE60" s="54"/>
      <c r="LSF60" s="55"/>
      <c r="LSG60" s="55"/>
      <c r="LSH60" s="58"/>
      <c r="LSI60" s="58"/>
      <c r="LSJ60" s="58"/>
      <c r="LSK60" s="58"/>
      <c r="LSL60" s="58"/>
      <c r="LSM60" s="58"/>
      <c r="LSN60" s="58"/>
      <c r="LSO60" s="14"/>
      <c r="LSP60" s="14"/>
      <c r="LSQ60" s="14"/>
      <c r="LSR60" s="14"/>
      <c r="LSS60" s="54"/>
      <c r="LST60" s="54"/>
      <c r="LSU60" s="54"/>
      <c r="LSV60" s="54"/>
      <c r="LSW60" s="55"/>
      <c r="LSX60" s="55"/>
      <c r="LSY60" s="58"/>
      <c r="LSZ60" s="58"/>
      <c r="LTA60" s="58"/>
      <c r="LTB60" s="58"/>
      <c r="LTC60" s="58"/>
      <c r="LTD60" s="58"/>
      <c r="LTE60" s="58"/>
      <c r="LTF60" s="14"/>
      <c r="LTG60" s="14"/>
      <c r="LTH60" s="14"/>
      <c r="LTI60" s="14"/>
      <c r="LTJ60" s="54"/>
      <c r="LTK60" s="54"/>
      <c r="LTL60" s="54"/>
      <c r="LTM60" s="54"/>
      <c r="LTN60" s="55"/>
      <c r="LTO60" s="55"/>
      <c r="LTP60" s="58"/>
      <c r="LTQ60" s="58"/>
      <c r="LTR60" s="58"/>
      <c r="LTS60" s="58"/>
      <c r="LTT60" s="58"/>
      <c r="LTU60" s="58"/>
      <c r="LTV60" s="58"/>
      <c r="LTW60" s="14"/>
      <c r="LTX60" s="14"/>
      <c r="LTY60" s="14"/>
      <c r="LTZ60" s="14"/>
      <c r="LUA60" s="54"/>
      <c r="LUB60" s="54"/>
      <c r="LUC60" s="54"/>
      <c r="LUD60" s="54"/>
      <c r="LUE60" s="55"/>
      <c r="LUF60" s="55"/>
      <c r="LUG60" s="58"/>
      <c r="LUH60" s="58"/>
      <c r="LUI60" s="58"/>
      <c r="LUJ60" s="58"/>
      <c r="LUK60" s="58"/>
      <c r="LUL60" s="58"/>
      <c r="LUM60" s="58"/>
      <c r="LUN60" s="14"/>
      <c r="LUO60" s="14"/>
      <c r="LUP60" s="14"/>
      <c r="LUQ60" s="14"/>
      <c r="LUR60" s="54"/>
      <c r="LUS60" s="54"/>
      <c r="LUT60" s="54"/>
      <c r="LUU60" s="54"/>
      <c r="LUV60" s="55"/>
      <c r="LUW60" s="55"/>
      <c r="LUX60" s="58"/>
      <c r="LUY60" s="58"/>
      <c r="LUZ60" s="58"/>
      <c r="LVA60" s="58"/>
      <c r="LVB60" s="58"/>
      <c r="LVC60" s="58"/>
      <c r="LVD60" s="58"/>
      <c r="LVE60" s="14"/>
      <c r="LVF60" s="14"/>
      <c r="LVG60" s="14"/>
      <c r="LVH60" s="14"/>
      <c r="LVI60" s="54"/>
      <c r="LVJ60" s="54"/>
      <c r="LVK60" s="54"/>
      <c r="LVL60" s="54"/>
      <c r="LVM60" s="55"/>
      <c r="LVN60" s="55"/>
      <c r="LVO60" s="58"/>
      <c r="LVP60" s="58"/>
      <c r="LVQ60" s="58"/>
      <c r="LVR60" s="58"/>
      <c r="LVS60" s="58"/>
      <c r="LVT60" s="58"/>
      <c r="LVU60" s="58"/>
      <c r="LVV60" s="14"/>
      <c r="LVW60" s="14"/>
      <c r="LVX60" s="14"/>
      <c r="LVY60" s="14"/>
      <c r="LVZ60" s="54"/>
      <c r="LWA60" s="54"/>
      <c r="LWB60" s="54"/>
      <c r="LWC60" s="54"/>
      <c r="LWD60" s="55"/>
      <c r="LWE60" s="55"/>
      <c r="LWF60" s="58"/>
      <c r="LWG60" s="58"/>
      <c r="LWH60" s="58"/>
      <c r="LWI60" s="58"/>
      <c r="LWJ60" s="58"/>
      <c r="LWK60" s="58"/>
      <c r="LWL60" s="58"/>
      <c r="LWM60" s="14"/>
      <c r="LWN60" s="14"/>
      <c r="LWO60" s="14"/>
      <c r="LWP60" s="14"/>
      <c r="LWQ60" s="54"/>
      <c r="LWR60" s="54"/>
      <c r="LWS60" s="54"/>
      <c r="LWT60" s="54"/>
      <c r="LWU60" s="55"/>
      <c r="LWV60" s="55"/>
      <c r="LWW60" s="58"/>
      <c r="LWX60" s="58"/>
      <c r="LWY60" s="58"/>
      <c r="LWZ60" s="58"/>
      <c r="LXA60" s="58"/>
      <c r="LXB60" s="58"/>
      <c r="LXC60" s="58"/>
      <c r="LXD60" s="14"/>
      <c r="LXE60" s="14"/>
      <c r="LXF60" s="14"/>
      <c r="LXG60" s="14"/>
      <c r="LXH60" s="54"/>
      <c r="LXI60" s="54"/>
      <c r="LXJ60" s="54"/>
      <c r="LXK60" s="54"/>
      <c r="LXL60" s="55"/>
      <c r="LXM60" s="55"/>
      <c r="LXN60" s="58"/>
      <c r="LXO60" s="58"/>
      <c r="LXP60" s="58"/>
      <c r="LXQ60" s="58"/>
      <c r="LXR60" s="58"/>
      <c r="LXS60" s="58"/>
      <c r="LXT60" s="58"/>
      <c r="LXU60" s="14"/>
      <c r="LXV60" s="14"/>
      <c r="LXW60" s="14"/>
      <c r="LXX60" s="14"/>
      <c r="LXY60" s="54"/>
      <c r="LXZ60" s="54"/>
      <c r="LYA60" s="54"/>
      <c r="LYB60" s="54"/>
      <c r="LYC60" s="55"/>
      <c r="LYD60" s="55"/>
      <c r="LYE60" s="58"/>
      <c r="LYF60" s="58"/>
      <c r="LYG60" s="58"/>
      <c r="LYH60" s="58"/>
      <c r="LYI60" s="58"/>
      <c r="LYJ60" s="58"/>
      <c r="LYK60" s="58"/>
      <c r="LYL60" s="14"/>
      <c r="LYM60" s="14"/>
      <c r="LYN60" s="14"/>
      <c r="LYO60" s="14"/>
      <c r="LYP60" s="54"/>
      <c r="LYQ60" s="54"/>
      <c r="LYR60" s="54"/>
      <c r="LYS60" s="54"/>
      <c r="LYT60" s="55"/>
      <c r="LYU60" s="55"/>
      <c r="LYV60" s="58"/>
      <c r="LYW60" s="58"/>
      <c r="LYX60" s="58"/>
      <c r="LYY60" s="58"/>
      <c r="LYZ60" s="58"/>
      <c r="LZA60" s="58"/>
      <c r="LZB60" s="58"/>
      <c r="LZC60" s="14"/>
      <c r="LZD60" s="14"/>
      <c r="LZE60" s="14"/>
      <c r="LZF60" s="14"/>
      <c r="LZG60" s="54"/>
      <c r="LZH60" s="54"/>
      <c r="LZI60" s="54"/>
      <c r="LZJ60" s="54"/>
      <c r="LZK60" s="55"/>
      <c r="LZL60" s="55"/>
      <c r="LZM60" s="58"/>
      <c r="LZN60" s="58"/>
      <c r="LZO60" s="58"/>
      <c r="LZP60" s="58"/>
      <c r="LZQ60" s="58"/>
      <c r="LZR60" s="58"/>
      <c r="LZS60" s="58"/>
      <c r="LZT60" s="14"/>
      <c r="LZU60" s="14"/>
      <c r="LZV60" s="14"/>
      <c r="LZW60" s="14"/>
      <c r="LZX60" s="54"/>
      <c r="LZY60" s="54"/>
      <c r="LZZ60" s="54"/>
      <c r="MAA60" s="54"/>
      <c r="MAB60" s="55"/>
      <c r="MAC60" s="55"/>
      <c r="MAD60" s="58"/>
      <c r="MAE60" s="58"/>
      <c r="MAF60" s="58"/>
      <c r="MAG60" s="58"/>
      <c r="MAH60" s="58"/>
      <c r="MAI60" s="58"/>
      <c r="MAJ60" s="58"/>
      <c r="MAK60" s="14"/>
      <c r="MAL60" s="14"/>
      <c r="MAM60" s="14"/>
      <c r="MAN60" s="14"/>
      <c r="MAO60" s="54"/>
      <c r="MAP60" s="54"/>
      <c r="MAQ60" s="54"/>
      <c r="MAR60" s="54"/>
      <c r="MAS60" s="55"/>
      <c r="MAT60" s="55"/>
      <c r="MAU60" s="58"/>
      <c r="MAV60" s="58"/>
      <c r="MAW60" s="58"/>
      <c r="MAX60" s="58"/>
      <c r="MAY60" s="58"/>
      <c r="MAZ60" s="58"/>
      <c r="MBA60" s="58"/>
      <c r="MBB60" s="14"/>
      <c r="MBC60" s="14"/>
      <c r="MBD60" s="14"/>
      <c r="MBE60" s="14"/>
      <c r="MBF60" s="54"/>
      <c r="MBG60" s="54"/>
      <c r="MBH60" s="54"/>
      <c r="MBI60" s="54"/>
      <c r="MBJ60" s="55"/>
      <c r="MBK60" s="55"/>
      <c r="MBL60" s="58"/>
      <c r="MBM60" s="58"/>
      <c r="MBN60" s="58"/>
      <c r="MBO60" s="58"/>
      <c r="MBP60" s="58"/>
      <c r="MBQ60" s="58"/>
      <c r="MBR60" s="58"/>
      <c r="MBS60" s="14"/>
      <c r="MBT60" s="14"/>
      <c r="MBU60" s="14"/>
      <c r="MBV60" s="14"/>
      <c r="MBW60" s="54"/>
      <c r="MBX60" s="54"/>
      <c r="MBY60" s="54"/>
      <c r="MBZ60" s="54"/>
      <c r="MCA60" s="55"/>
      <c r="MCB60" s="55"/>
      <c r="MCC60" s="58"/>
      <c r="MCD60" s="58"/>
      <c r="MCE60" s="58"/>
      <c r="MCF60" s="58"/>
      <c r="MCG60" s="58"/>
      <c r="MCH60" s="58"/>
      <c r="MCI60" s="58"/>
      <c r="MCJ60" s="14"/>
      <c r="MCK60" s="14"/>
      <c r="MCL60" s="14"/>
      <c r="MCM60" s="14"/>
      <c r="MCN60" s="54"/>
      <c r="MCO60" s="54"/>
      <c r="MCP60" s="54"/>
      <c r="MCQ60" s="54"/>
      <c r="MCR60" s="55"/>
      <c r="MCS60" s="55"/>
      <c r="MCT60" s="58"/>
      <c r="MCU60" s="58"/>
      <c r="MCV60" s="58"/>
      <c r="MCW60" s="58"/>
      <c r="MCX60" s="58"/>
      <c r="MCY60" s="58"/>
      <c r="MCZ60" s="58"/>
      <c r="MDA60" s="14"/>
      <c r="MDB60" s="14"/>
      <c r="MDC60" s="14"/>
      <c r="MDD60" s="14"/>
      <c r="MDE60" s="54"/>
      <c r="MDF60" s="54"/>
      <c r="MDG60" s="54"/>
      <c r="MDH60" s="54"/>
      <c r="MDI60" s="55"/>
      <c r="MDJ60" s="55"/>
      <c r="MDK60" s="58"/>
      <c r="MDL60" s="58"/>
      <c r="MDM60" s="58"/>
      <c r="MDN60" s="58"/>
      <c r="MDO60" s="58"/>
      <c r="MDP60" s="58"/>
      <c r="MDQ60" s="58"/>
      <c r="MDR60" s="14"/>
      <c r="MDS60" s="14"/>
      <c r="MDT60" s="14"/>
      <c r="MDU60" s="14"/>
      <c r="MDV60" s="54"/>
      <c r="MDW60" s="54"/>
      <c r="MDX60" s="54"/>
      <c r="MDY60" s="54"/>
      <c r="MDZ60" s="55"/>
      <c r="MEA60" s="55"/>
      <c r="MEB60" s="58"/>
      <c r="MEC60" s="58"/>
      <c r="MED60" s="58"/>
      <c r="MEE60" s="58"/>
      <c r="MEF60" s="58"/>
      <c r="MEG60" s="58"/>
      <c r="MEH60" s="58"/>
      <c r="MEI60" s="14"/>
      <c r="MEJ60" s="14"/>
      <c r="MEK60" s="14"/>
      <c r="MEL60" s="14"/>
      <c r="MEM60" s="54"/>
      <c r="MEN60" s="54"/>
      <c r="MEO60" s="54"/>
      <c r="MEP60" s="54"/>
      <c r="MEQ60" s="55"/>
      <c r="MER60" s="55"/>
      <c r="MES60" s="58"/>
      <c r="MET60" s="58"/>
      <c r="MEU60" s="58"/>
      <c r="MEV60" s="58"/>
      <c r="MEW60" s="58"/>
      <c r="MEX60" s="58"/>
      <c r="MEY60" s="58"/>
      <c r="MEZ60" s="14"/>
      <c r="MFA60" s="14"/>
      <c r="MFB60" s="14"/>
      <c r="MFC60" s="14"/>
      <c r="MFD60" s="54"/>
      <c r="MFE60" s="54"/>
      <c r="MFF60" s="54"/>
      <c r="MFG60" s="54"/>
      <c r="MFH60" s="55"/>
      <c r="MFI60" s="55"/>
      <c r="MFJ60" s="58"/>
      <c r="MFK60" s="58"/>
      <c r="MFL60" s="58"/>
      <c r="MFM60" s="58"/>
      <c r="MFN60" s="58"/>
      <c r="MFO60" s="58"/>
      <c r="MFP60" s="58"/>
      <c r="MFQ60" s="14"/>
      <c r="MFR60" s="14"/>
      <c r="MFS60" s="14"/>
      <c r="MFT60" s="14"/>
      <c r="MFU60" s="54"/>
      <c r="MFV60" s="54"/>
      <c r="MFW60" s="54"/>
      <c r="MFX60" s="54"/>
      <c r="MFY60" s="55"/>
      <c r="MFZ60" s="55"/>
      <c r="MGA60" s="58"/>
      <c r="MGB60" s="58"/>
      <c r="MGC60" s="58"/>
      <c r="MGD60" s="58"/>
      <c r="MGE60" s="58"/>
      <c r="MGF60" s="58"/>
      <c r="MGG60" s="58"/>
      <c r="MGH60" s="14"/>
      <c r="MGI60" s="14"/>
      <c r="MGJ60" s="14"/>
      <c r="MGK60" s="14"/>
      <c r="MGL60" s="54"/>
      <c r="MGM60" s="54"/>
      <c r="MGN60" s="54"/>
      <c r="MGO60" s="54"/>
      <c r="MGP60" s="55"/>
      <c r="MGQ60" s="55"/>
      <c r="MGR60" s="58"/>
      <c r="MGS60" s="58"/>
      <c r="MGT60" s="58"/>
      <c r="MGU60" s="58"/>
      <c r="MGV60" s="58"/>
      <c r="MGW60" s="58"/>
      <c r="MGX60" s="58"/>
      <c r="MGY60" s="14"/>
      <c r="MGZ60" s="14"/>
      <c r="MHA60" s="14"/>
      <c r="MHB60" s="14"/>
      <c r="MHC60" s="54"/>
      <c r="MHD60" s="54"/>
      <c r="MHE60" s="54"/>
      <c r="MHF60" s="54"/>
      <c r="MHG60" s="55"/>
      <c r="MHH60" s="55"/>
      <c r="MHI60" s="58"/>
      <c r="MHJ60" s="58"/>
      <c r="MHK60" s="58"/>
      <c r="MHL60" s="58"/>
      <c r="MHM60" s="58"/>
      <c r="MHN60" s="58"/>
      <c r="MHO60" s="58"/>
      <c r="MHP60" s="14"/>
      <c r="MHQ60" s="14"/>
      <c r="MHR60" s="14"/>
      <c r="MHS60" s="14"/>
      <c r="MHT60" s="54"/>
      <c r="MHU60" s="54"/>
      <c r="MHV60" s="54"/>
      <c r="MHW60" s="54"/>
      <c r="MHX60" s="55"/>
      <c r="MHY60" s="55"/>
      <c r="MHZ60" s="58"/>
      <c r="MIA60" s="58"/>
      <c r="MIB60" s="58"/>
      <c r="MIC60" s="58"/>
      <c r="MID60" s="58"/>
      <c r="MIE60" s="58"/>
      <c r="MIF60" s="58"/>
      <c r="MIG60" s="14"/>
      <c r="MIH60" s="14"/>
      <c r="MII60" s="14"/>
      <c r="MIJ60" s="14"/>
      <c r="MIK60" s="54"/>
      <c r="MIL60" s="54"/>
      <c r="MIM60" s="54"/>
      <c r="MIN60" s="54"/>
      <c r="MIO60" s="55"/>
      <c r="MIP60" s="55"/>
      <c r="MIQ60" s="58"/>
      <c r="MIR60" s="58"/>
      <c r="MIS60" s="58"/>
      <c r="MIT60" s="58"/>
      <c r="MIU60" s="58"/>
      <c r="MIV60" s="58"/>
      <c r="MIW60" s="58"/>
      <c r="MIX60" s="14"/>
      <c r="MIY60" s="14"/>
      <c r="MIZ60" s="14"/>
      <c r="MJA60" s="14"/>
      <c r="MJB60" s="54"/>
      <c r="MJC60" s="54"/>
      <c r="MJD60" s="54"/>
      <c r="MJE60" s="54"/>
      <c r="MJF60" s="55"/>
      <c r="MJG60" s="55"/>
      <c r="MJH60" s="58"/>
      <c r="MJI60" s="58"/>
      <c r="MJJ60" s="58"/>
      <c r="MJK60" s="58"/>
      <c r="MJL60" s="58"/>
      <c r="MJM60" s="58"/>
      <c r="MJN60" s="58"/>
      <c r="MJO60" s="14"/>
      <c r="MJP60" s="14"/>
      <c r="MJQ60" s="14"/>
      <c r="MJR60" s="14"/>
      <c r="MJS60" s="54"/>
      <c r="MJT60" s="54"/>
      <c r="MJU60" s="54"/>
      <c r="MJV60" s="54"/>
      <c r="MJW60" s="55"/>
      <c r="MJX60" s="55"/>
      <c r="MJY60" s="58"/>
      <c r="MJZ60" s="58"/>
      <c r="MKA60" s="58"/>
      <c r="MKB60" s="58"/>
      <c r="MKC60" s="58"/>
      <c r="MKD60" s="58"/>
      <c r="MKE60" s="58"/>
      <c r="MKF60" s="14"/>
      <c r="MKG60" s="14"/>
      <c r="MKH60" s="14"/>
      <c r="MKI60" s="14"/>
      <c r="MKJ60" s="54"/>
      <c r="MKK60" s="54"/>
      <c r="MKL60" s="54"/>
      <c r="MKM60" s="54"/>
      <c r="MKN60" s="55"/>
      <c r="MKO60" s="55"/>
      <c r="MKP60" s="58"/>
      <c r="MKQ60" s="58"/>
      <c r="MKR60" s="58"/>
      <c r="MKS60" s="58"/>
      <c r="MKT60" s="58"/>
      <c r="MKU60" s="58"/>
      <c r="MKV60" s="58"/>
      <c r="MKW60" s="14"/>
      <c r="MKX60" s="14"/>
      <c r="MKY60" s="14"/>
      <c r="MKZ60" s="14"/>
      <c r="MLA60" s="54"/>
      <c r="MLB60" s="54"/>
      <c r="MLC60" s="54"/>
      <c r="MLD60" s="54"/>
      <c r="MLE60" s="55"/>
      <c r="MLF60" s="55"/>
      <c r="MLG60" s="58"/>
      <c r="MLH60" s="58"/>
      <c r="MLI60" s="58"/>
      <c r="MLJ60" s="58"/>
      <c r="MLK60" s="58"/>
      <c r="MLL60" s="58"/>
      <c r="MLM60" s="58"/>
      <c r="MLN60" s="14"/>
      <c r="MLO60" s="14"/>
      <c r="MLP60" s="14"/>
      <c r="MLQ60" s="14"/>
      <c r="MLR60" s="54"/>
      <c r="MLS60" s="54"/>
      <c r="MLT60" s="54"/>
      <c r="MLU60" s="54"/>
      <c r="MLV60" s="55"/>
      <c r="MLW60" s="55"/>
      <c r="MLX60" s="58"/>
      <c r="MLY60" s="58"/>
      <c r="MLZ60" s="58"/>
      <c r="MMA60" s="58"/>
      <c r="MMB60" s="58"/>
      <c r="MMC60" s="58"/>
      <c r="MMD60" s="58"/>
      <c r="MME60" s="14"/>
      <c r="MMF60" s="14"/>
      <c r="MMG60" s="14"/>
      <c r="MMH60" s="14"/>
      <c r="MMI60" s="54"/>
      <c r="MMJ60" s="54"/>
      <c r="MMK60" s="54"/>
      <c r="MML60" s="54"/>
      <c r="MMM60" s="55"/>
      <c r="MMN60" s="55"/>
      <c r="MMO60" s="58"/>
      <c r="MMP60" s="58"/>
      <c r="MMQ60" s="58"/>
      <c r="MMR60" s="58"/>
      <c r="MMS60" s="58"/>
      <c r="MMT60" s="58"/>
      <c r="MMU60" s="58"/>
      <c r="MMV60" s="14"/>
      <c r="MMW60" s="14"/>
      <c r="MMX60" s="14"/>
      <c r="MMY60" s="14"/>
      <c r="MMZ60" s="54"/>
      <c r="MNA60" s="54"/>
      <c r="MNB60" s="54"/>
      <c r="MNC60" s="54"/>
      <c r="MND60" s="55"/>
      <c r="MNE60" s="55"/>
      <c r="MNF60" s="58"/>
      <c r="MNG60" s="58"/>
      <c r="MNH60" s="58"/>
      <c r="MNI60" s="58"/>
      <c r="MNJ60" s="58"/>
      <c r="MNK60" s="58"/>
      <c r="MNL60" s="58"/>
      <c r="MNM60" s="14"/>
      <c r="MNN60" s="14"/>
      <c r="MNO60" s="14"/>
      <c r="MNP60" s="14"/>
      <c r="MNQ60" s="54"/>
      <c r="MNR60" s="54"/>
      <c r="MNS60" s="54"/>
      <c r="MNT60" s="54"/>
      <c r="MNU60" s="55"/>
      <c r="MNV60" s="55"/>
      <c r="MNW60" s="58"/>
      <c r="MNX60" s="58"/>
      <c r="MNY60" s="58"/>
      <c r="MNZ60" s="58"/>
      <c r="MOA60" s="58"/>
      <c r="MOB60" s="58"/>
      <c r="MOC60" s="58"/>
      <c r="MOD60" s="14"/>
      <c r="MOE60" s="14"/>
      <c r="MOF60" s="14"/>
      <c r="MOG60" s="14"/>
      <c r="MOH60" s="54"/>
      <c r="MOI60" s="54"/>
      <c r="MOJ60" s="54"/>
      <c r="MOK60" s="54"/>
      <c r="MOL60" s="55"/>
      <c r="MOM60" s="55"/>
      <c r="MON60" s="58"/>
      <c r="MOO60" s="58"/>
      <c r="MOP60" s="58"/>
      <c r="MOQ60" s="58"/>
      <c r="MOR60" s="58"/>
      <c r="MOS60" s="58"/>
      <c r="MOT60" s="58"/>
      <c r="MOU60" s="14"/>
      <c r="MOV60" s="14"/>
      <c r="MOW60" s="14"/>
      <c r="MOX60" s="14"/>
      <c r="MOY60" s="54"/>
      <c r="MOZ60" s="54"/>
      <c r="MPA60" s="54"/>
      <c r="MPB60" s="54"/>
      <c r="MPC60" s="55"/>
      <c r="MPD60" s="55"/>
      <c r="MPE60" s="58"/>
      <c r="MPF60" s="58"/>
      <c r="MPG60" s="58"/>
      <c r="MPH60" s="58"/>
      <c r="MPI60" s="58"/>
      <c r="MPJ60" s="58"/>
      <c r="MPK60" s="58"/>
      <c r="MPL60" s="14"/>
      <c r="MPM60" s="14"/>
      <c r="MPN60" s="14"/>
      <c r="MPO60" s="14"/>
      <c r="MPP60" s="54"/>
      <c r="MPQ60" s="54"/>
      <c r="MPR60" s="54"/>
      <c r="MPS60" s="54"/>
      <c r="MPT60" s="55"/>
      <c r="MPU60" s="55"/>
      <c r="MPV60" s="58"/>
      <c r="MPW60" s="58"/>
      <c r="MPX60" s="58"/>
      <c r="MPY60" s="58"/>
      <c r="MPZ60" s="58"/>
      <c r="MQA60" s="58"/>
      <c r="MQB60" s="58"/>
      <c r="MQC60" s="14"/>
      <c r="MQD60" s="14"/>
      <c r="MQE60" s="14"/>
      <c r="MQF60" s="14"/>
      <c r="MQG60" s="54"/>
      <c r="MQH60" s="54"/>
      <c r="MQI60" s="54"/>
      <c r="MQJ60" s="54"/>
      <c r="MQK60" s="55"/>
      <c r="MQL60" s="55"/>
      <c r="MQM60" s="58"/>
      <c r="MQN60" s="58"/>
      <c r="MQO60" s="58"/>
      <c r="MQP60" s="58"/>
      <c r="MQQ60" s="58"/>
      <c r="MQR60" s="58"/>
      <c r="MQS60" s="58"/>
      <c r="MQT60" s="14"/>
      <c r="MQU60" s="14"/>
      <c r="MQV60" s="14"/>
      <c r="MQW60" s="14"/>
      <c r="MQX60" s="54"/>
      <c r="MQY60" s="54"/>
      <c r="MQZ60" s="54"/>
      <c r="MRA60" s="54"/>
      <c r="MRB60" s="55"/>
      <c r="MRC60" s="55"/>
      <c r="MRD60" s="58"/>
      <c r="MRE60" s="58"/>
      <c r="MRF60" s="58"/>
      <c r="MRG60" s="58"/>
      <c r="MRH60" s="58"/>
      <c r="MRI60" s="58"/>
      <c r="MRJ60" s="58"/>
      <c r="MRK60" s="14"/>
      <c r="MRL60" s="14"/>
      <c r="MRM60" s="14"/>
      <c r="MRN60" s="14"/>
      <c r="MRO60" s="54"/>
      <c r="MRP60" s="54"/>
      <c r="MRQ60" s="54"/>
      <c r="MRR60" s="54"/>
      <c r="MRS60" s="55"/>
      <c r="MRT60" s="55"/>
      <c r="MRU60" s="58"/>
      <c r="MRV60" s="58"/>
      <c r="MRW60" s="58"/>
      <c r="MRX60" s="58"/>
      <c r="MRY60" s="58"/>
      <c r="MRZ60" s="58"/>
      <c r="MSA60" s="58"/>
      <c r="MSB60" s="14"/>
      <c r="MSC60" s="14"/>
      <c r="MSD60" s="14"/>
      <c r="MSE60" s="14"/>
      <c r="MSF60" s="54"/>
      <c r="MSG60" s="54"/>
      <c r="MSH60" s="54"/>
      <c r="MSI60" s="54"/>
      <c r="MSJ60" s="55"/>
      <c r="MSK60" s="55"/>
      <c r="MSL60" s="58"/>
      <c r="MSM60" s="58"/>
      <c r="MSN60" s="58"/>
      <c r="MSO60" s="58"/>
      <c r="MSP60" s="58"/>
      <c r="MSQ60" s="58"/>
      <c r="MSR60" s="58"/>
      <c r="MSS60" s="14"/>
      <c r="MST60" s="14"/>
      <c r="MSU60" s="14"/>
      <c r="MSV60" s="14"/>
      <c r="MSW60" s="54"/>
      <c r="MSX60" s="54"/>
      <c r="MSY60" s="54"/>
      <c r="MSZ60" s="54"/>
      <c r="MTA60" s="55"/>
      <c r="MTB60" s="55"/>
      <c r="MTC60" s="58"/>
      <c r="MTD60" s="58"/>
      <c r="MTE60" s="58"/>
      <c r="MTF60" s="58"/>
      <c r="MTG60" s="58"/>
      <c r="MTH60" s="58"/>
      <c r="MTI60" s="58"/>
      <c r="MTJ60" s="14"/>
      <c r="MTK60" s="14"/>
      <c r="MTL60" s="14"/>
      <c r="MTM60" s="14"/>
      <c r="MTN60" s="54"/>
      <c r="MTO60" s="54"/>
      <c r="MTP60" s="54"/>
      <c r="MTQ60" s="54"/>
      <c r="MTR60" s="55"/>
      <c r="MTS60" s="55"/>
      <c r="MTT60" s="58"/>
      <c r="MTU60" s="58"/>
      <c r="MTV60" s="58"/>
      <c r="MTW60" s="58"/>
      <c r="MTX60" s="58"/>
      <c r="MTY60" s="58"/>
      <c r="MTZ60" s="58"/>
      <c r="MUA60" s="14"/>
      <c r="MUB60" s="14"/>
      <c r="MUC60" s="14"/>
      <c r="MUD60" s="14"/>
      <c r="MUE60" s="54"/>
      <c r="MUF60" s="54"/>
      <c r="MUG60" s="54"/>
      <c r="MUH60" s="54"/>
      <c r="MUI60" s="55"/>
      <c r="MUJ60" s="55"/>
      <c r="MUK60" s="58"/>
      <c r="MUL60" s="58"/>
      <c r="MUM60" s="58"/>
      <c r="MUN60" s="58"/>
      <c r="MUO60" s="58"/>
      <c r="MUP60" s="58"/>
      <c r="MUQ60" s="58"/>
      <c r="MUR60" s="14"/>
      <c r="MUS60" s="14"/>
      <c r="MUT60" s="14"/>
      <c r="MUU60" s="14"/>
      <c r="MUV60" s="54"/>
      <c r="MUW60" s="54"/>
      <c r="MUX60" s="54"/>
      <c r="MUY60" s="54"/>
      <c r="MUZ60" s="55"/>
      <c r="MVA60" s="55"/>
      <c r="MVB60" s="58"/>
      <c r="MVC60" s="58"/>
      <c r="MVD60" s="58"/>
      <c r="MVE60" s="58"/>
      <c r="MVF60" s="58"/>
      <c r="MVG60" s="58"/>
      <c r="MVH60" s="58"/>
      <c r="MVI60" s="14"/>
      <c r="MVJ60" s="14"/>
      <c r="MVK60" s="14"/>
      <c r="MVL60" s="14"/>
      <c r="MVM60" s="54"/>
      <c r="MVN60" s="54"/>
      <c r="MVO60" s="54"/>
      <c r="MVP60" s="54"/>
      <c r="MVQ60" s="55"/>
      <c r="MVR60" s="55"/>
      <c r="MVS60" s="58"/>
      <c r="MVT60" s="58"/>
      <c r="MVU60" s="58"/>
      <c r="MVV60" s="58"/>
      <c r="MVW60" s="58"/>
      <c r="MVX60" s="58"/>
      <c r="MVY60" s="58"/>
      <c r="MVZ60" s="14"/>
      <c r="MWA60" s="14"/>
      <c r="MWB60" s="14"/>
      <c r="MWC60" s="14"/>
      <c r="MWD60" s="54"/>
      <c r="MWE60" s="54"/>
      <c r="MWF60" s="54"/>
      <c r="MWG60" s="54"/>
      <c r="MWH60" s="55"/>
      <c r="MWI60" s="55"/>
      <c r="MWJ60" s="58"/>
      <c r="MWK60" s="58"/>
      <c r="MWL60" s="58"/>
      <c r="MWM60" s="58"/>
      <c r="MWN60" s="58"/>
      <c r="MWO60" s="58"/>
      <c r="MWP60" s="58"/>
      <c r="MWQ60" s="14"/>
      <c r="MWR60" s="14"/>
      <c r="MWS60" s="14"/>
      <c r="MWT60" s="14"/>
      <c r="MWU60" s="54"/>
      <c r="MWV60" s="54"/>
      <c r="MWW60" s="54"/>
      <c r="MWX60" s="54"/>
      <c r="MWY60" s="55"/>
      <c r="MWZ60" s="55"/>
      <c r="MXA60" s="58"/>
      <c r="MXB60" s="58"/>
      <c r="MXC60" s="58"/>
      <c r="MXD60" s="58"/>
      <c r="MXE60" s="58"/>
      <c r="MXF60" s="58"/>
      <c r="MXG60" s="58"/>
      <c r="MXH60" s="14"/>
      <c r="MXI60" s="14"/>
      <c r="MXJ60" s="14"/>
      <c r="MXK60" s="14"/>
      <c r="MXL60" s="54"/>
      <c r="MXM60" s="54"/>
      <c r="MXN60" s="54"/>
      <c r="MXO60" s="54"/>
      <c r="MXP60" s="55"/>
      <c r="MXQ60" s="55"/>
      <c r="MXR60" s="58"/>
      <c r="MXS60" s="58"/>
      <c r="MXT60" s="58"/>
      <c r="MXU60" s="58"/>
      <c r="MXV60" s="58"/>
      <c r="MXW60" s="58"/>
      <c r="MXX60" s="58"/>
      <c r="MXY60" s="14"/>
      <c r="MXZ60" s="14"/>
      <c r="MYA60" s="14"/>
      <c r="MYB60" s="14"/>
      <c r="MYC60" s="54"/>
      <c r="MYD60" s="54"/>
      <c r="MYE60" s="54"/>
      <c r="MYF60" s="54"/>
      <c r="MYG60" s="55"/>
      <c r="MYH60" s="55"/>
      <c r="MYI60" s="58"/>
      <c r="MYJ60" s="58"/>
      <c r="MYK60" s="58"/>
      <c r="MYL60" s="58"/>
      <c r="MYM60" s="58"/>
      <c r="MYN60" s="58"/>
      <c r="MYO60" s="58"/>
      <c r="MYP60" s="14"/>
      <c r="MYQ60" s="14"/>
      <c r="MYR60" s="14"/>
      <c r="MYS60" s="14"/>
      <c r="MYT60" s="54"/>
      <c r="MYU60" s="54"/>
      <c r="MYV60" s="54"/>
      <c r="MYW60" s="54"/>
      <c r="MYX60" s="55"/>
      <c r="MYY60" s="55"/>
      <c r="MYZ60" s="58"/>
      <c r="MZA60" s="58"/>
      <c r="MZB60" s="58"/>
      <c r="MZC60" s="58"/>
      <c r="MZD60" s="58"/>
      <c r="MZE60" s="58"/>
      <c r="MZF60" s="58"/>
      <c r="MZG60" s="14"/>
      <c r="MZH60" s="14"/>
      <c r="MZI60" s="14"/>
      <c r="MZJ60" s="14"/>
      <c r="MZK60" s="54"/>
      <c r="MZL60" s="54"/>
      <c r="MZM60" s="54"/>
      <c r="MZN60" s="54"/>
      <c r="MZO60" s="55"/>
      <c r="MZP60" s="55"/>
      <c r="MZQ60" s="58"/>
      <c r="MZR60" s="58"/>
      <c r="MZS60" s="58"/>
      <c r="MZT60" s="58"/>
      <c r="MZU60" s="58"/>
      <c r="MZV60" s="58"/>
      <c r="MZW60" s="58"/>
      <c r="MZX60" s="14"/>
      <c r="MZY60" s="14"/>
      <c r="MZZ60" s="14"/>
      <c r="NAA60" s="14"/>
      <c r="NAB60" s="54"/>
      <c r="NAC60" s="54"/>
      <c r="NAD60" s="54"/>
      <c r="NAE60" s="54"/>
      <c r="NAF60" s="55"/>
      <c r="NAG60" s="55"/>
      <c r="NAH60" s="58"/>
      <c r="NAI60" s="58"/>
      <c r="NAJ60" s="58"/>
      <c r="NAK60" s="58"/>
      <c r="NAL60" s="58"/>
      <c r="NAM60" s="58"/>
      <c r="NAN60" s="58"/>
      <c r="NAO60" s="14"/>
      <c r="NAP60" s="14"/>
      <c r="NAQ60" s="14"/>
      <c r="NAR60" s="14"/>
      <c r="NAS60" s="54"/>
      <c r="NAT60" s="54"/>
      <c r="NAU60" s="54"/>
      <c r="NAV60" s="54"/>
      <c r="NAW60" s="55"/>
      <c r="NAX60" s="55"/>
      <c r="NAY60" s="58"/>
      <c r="NAZ60" s="58"/>
      <c r="NBA60" s="58"/>
      <c r="NBB60" s="58"/>
      <c r="NBC60" s="58"/>
      <c r="NBD60" s="58"/>
      <c r="NBE60" s="58"/>
      <c r="NBF60" s="14"/>
      <c r="NBG60" s="14"/>
      <c r="NBH60" s="14"/>
      <c r="NBI60" s="14"/>
      <c r="NBJ60" s="54"/>
      <c r="NBK60" s="54"/>
      <c r="NBL60" s="54"/>
      <c r="NBM60" s="54"/>
      <c r="NBN60" s="55"/>
      <c r="NBO60" s="55"/>
      <c r="NBP60" s="58"/>
      <c r="NBQ60" s="58"/>
      <c r="NBR60" s="58"/>
      <c r="NBS60" s="58"/>
      <c r="NBT60" s="58"/>
      <c r="NBU60" s="58"/>
      <c r="NBV60" s="58"/>
      <c r="NBW60" s="14"/>
      <c r="NBX60" s="14"/>
      <c r="NBY60" s="14"/>
      <c r="NBZ60" s="14"/>
      <c r="NCA60" s="54"/>
      <c r="NCB60" s="54"/>
      <c r="NCC60" s="54"/>
      <c r="NCD60" s="54"/>
      <c r="NCE60" s="55"/>
      <c r="NCF60" s="55"/>
      <c r="NCG60" s="58"/>
      <c r="NCH60" s="58"/>
      <c r="NCI60" s="58"/>
      <c r="NCJ60" s="58"/>
      <c r="NCK60" s="58"/>
      <c r="NCL60" s="58"/>
      <c r="NCM60" s="58"/>
      <c r="NCN60" s="14"/>
      <c r="NCO60" s="14"/>
      <c r="NCP60" s="14"/>
      <c r="NCQ60" s="14"/>
      <c r="NCR60" s="54"/>
      <c r="NCS60" s="54"/>
      <c r="NCT60" s="54"/>
      <c r="NCU60" s="54"/>
      <c r="NCV60" s="55"/>
      <c r="NCW60" s="55"/>
      <c r="NCX60" s="58"/>
      <c r="NCY60" s="58"/>
      <c r="NCZ60" s="58"/>
      <c r="NDA60" s="58"/>
      <c r="NDB60" s="58"/>
      <c r="NDC60" s="58"/>
      <c r="NDD60" s="58"/>
      <c r="NDE60" s="14"/>
      <c r="NDF60" s="14"/>
      <c r="NDG60" s="14"/>
      <c r="NDH60" s="14"/>
      <c r="NDI60" s="54"/>
      <c r="NDJ60" s="54"/>
      <c r="NDK60" s="54"/>
      <c r="NDL60" s="54"/>
      <c r="NDM60" s="55"/>
      <c r="NDN60" s="55"/>
      <c r="NDO60" s="58"/>
      <c r="NDP60" s="58"/>
      <c r="NDQ60" s="58"/>
      <c r="NDR60" s="58"/>
      <c r="NDS60" s="58"/>
      <c r="NDT60" s="58"/>
      <c r="NDU60" s="58"/>
      <c r="NDV60" s="14"/>
      <c r="NDW60" s="14"/>
      <c r="NDX60" s="14"/>
      <c r="NDY60" s="14"/>
      <c r="NDZ60" s="54"/>
      <c r="NEA60" s="54"/>
      <c r="NEB60" s="54"/>
      <c r="NEC60" s="54"/>
      <c r="NED60" s="55"/>
      <c r="NEE60" s="55"/>
      <c r="NEF60" s="58"/>
      <c r="NEG60" s="58"/>
      <c r="NEH60" s="58"/>
      <c r="NEI60" s="58"/>
      <c r="NEJ60" s="58"/>
      <c r="NEK60" s="58"/>
      <c r="NEL60" s="58"/>
      <c r="NEM60" s="14"/>
      <c r="NEN60" s="14"/>
      <c r="NEO60" s="14"/>
      <c r="NEP60" s="14"/>
      <c r="NEQ60" s="54"/>
      <c r="NER60" s="54"/>
      <c r="NES60" s="54"/>
      <c r="NET60" s="54"/>
      <c r="NEU60" s="55"/>
      <c r="NEV60" s="55"/>
      <c r="NEW60" s="58"/>
      <c r="NEX60" s="58"/>
      <c r="NEY60" s="58"/>
      <c r="NEZ60" s="58"/>
      <c r="NFA60" s="58"/>
      <c r="NFB60" s="58"/>
      <c r="NFC60" s="58"/>
      <c r="NFD60" s="14"/>
      <c r="NFE60" s="14"/>
      <c r="NFF60" s="14"/>
      <c r="NFG60" s="14"/>
      <c r="NFH60" s="54"/>
      <c r="NFI60" s="54"/>
      <c r="NFJ60" s="54"/>
      <c r="NFK60" s="54"/>
      <c r="NFL60" s="55"/>
      <c r="NFM60" s="55"/>
      <c r="NFN60" s="58"/>
      <c r="NFO60" s="58"/>
      <c r="NFP60" s="58"/>
      <c r="NFQ60" s="58"/>
      <c r="NFR60" s="58"/>
      <c r="NFS60" s="58"/>
      <c r="NFT60" s="58"/>
      <c r="NFU60" s="14"/>
      <c r="NFV60" s="14"/>
      <c r="NFW60" s="14"/>
      <c r="NFX60" s="14"/>
      <c r="NFY60" s="54"/>
      <c r="NFZ60" s="54"/>
      <c r="NGA60" s="54"/>
      <c r="NGB60" s="54"/>
      <c r="NGC60" s="55"/>
      <c r="NGD60" s="55"/>
      <c r="NGE60" s="58"/>
      <c r="NGF60" s="58"/>
      <c r="NGG60" s="58"/>
      <c r="NGH60" s="58"/>
      <c r="NGI60" s="58"/>
      <c r="NGJ60" s="58"/>
      <c r="NGK60" s="58"/>
      <c r="NGL60" s="14"/>
      <c r="NGM60" s="14"/>
      <c r="NGN60" s="14"/>
      <c r="NGO60" s="14"/>
      <c r="NGP60" s="54"/>
      <c r="NGQ60" s="54"/>
      <c r="NGR60" s="54"/>
      <c r="NGS60" s="54"/>
      <c r="NGT60" s="55"/>
      <c r="NGU60" s="55"/>
      <c r="NGV60" s="58"/>
      <c r="NGW60" s="58"/>
      <c r="NGX60" s="58"/>
      <c r="NGY60" s="58"/>
      <c r="NGZ60" s="58"/>
      <c r="NHA60" s="58"/>
      <c r="NHB60" s="58"/>
      <c r="NHC60" s="14"/>
      <c r="NHD60" s="14"/>
      <c r="NHE60" s="14"/>
      <c r="NHF60" s="14"/>
      <c r="NHG60" s="54"/>
      <c r="NHH60" s="54"/>
      <c r="NHI60" s="54"/>
      <c r="NHJ60" s="54"/>
      <c r="NHK60" s="55"/>
      <c r="NHL60" s="55"/>
      <c r="NHM60" s="58"/>
      <c r="NHN60" s="58"/>
      <c r="NHO60" s="58"/>
      <c r="NHP60" s="58"/>
      <c r="NHQ60" s="58"/>
      <c r="NHR60" s="58"/>
      <c r="NHS60" s="58"/>
      <c r="NHT60" s="14"/>
      <c r="NHU60" s="14"/>
      <c r="NHV60" s="14"/>
      <c r="NHW60" s="14"/>
      <c r="NHX60" s="54"/>
      <c r="NHY60" s="54"/>
      <c r="NHZ60" s="54"/>
      <c r="NIA60" s="54"/>
      <c r="NIB60" s="55"/>
      <c r="NIC60" s="55"/>
      <c r="NID60" s="58"/>
      <c r="NIE60" s="58"/>
      <c r="NIF60" s="58"/>
      <c r="NIG60" s="58"/>
      <c r="NIH60" s="58"/>
      <c r="NII60" s="58"/>
      <c r="NIJ60" s="58"/>
      <c r="NIK60" s="14"/>
      <c r="NIL60" s="14"/>
      <c r="NIM60" s="14"/>
      <c r="NIN60" s="14"/>
      <c r="NIO60" s="54"/>
      <c r="NIP60" s="54"/>
      <c r="NIQ60" s="54"/>
      <c r="NIR60" s="54"/>
      <c r="NIS60" s="55"/>
      <c r="NIT60" s="55"/>
      <c r="NIU60" s="58"/>
      <c r="NIV60" s="58"/>
      <c r="NIW60" s="58"/>
      <c r="NIX60" s="58"/>
      <c r="NIY60" s="58"/>
      <c r="NIZ60" s="58"/>
      <c r="NJA60" s="58"/>
      <c r="NJB60" s="14"/>
      <c r="NJC60" s="14"/>
      <c r="NJD60" s="14"/>
      <c r="NJE60" s="14"/>
      <c r="NJF60" s="54"/>
      <c r="NJG60" s="54"/>
      <c r="NJH60" s="54"/>
      <c r="NJI60" s="54"/>
      <c r="NJJ60" s="55"/>
      <c r="NJK60" s="55"/>
      <c r="NJL60" s="58"/>
      <c r="NJM60" s="58"/>
      <c r="NJN60" s="58"/>
      <c r="NJO60" s="58"/>
      <c r="NJP60" s="58"/>
      <c r="NJQ60" s="58"/>
      <c r="NJR60" s="58"/>
      <c r="NJS60" s="14"/>
      <c r="NJT60" s="14"/>
      <c r="NJU60" s="14"/>
      <c r="NJV60" s="14"/>
      <c r="NJW60" s="54"/>
      <c r="NJX60" s="54"/>
      <c r="NJY60" s="54"/>
      <c r="NJZ60" s="54"/>
      <c r="NKA60" s="55"/>
      <c r="NKB60" s="55"/>
      <c r="NKC60" s="58"/>
      <c r="NKD60" s="58"/>
      <c r="NKE60" s="58"/>
      <c r="NKF60" s="58"/>
      <c r="NKG60" s="58"/>
      <c r="NKH60" s="58"/>
      <c r="NKI60" s="58"/>
      <c r="NKJ60" s="14"/>
      <c r="NKK60" s="14"/>
      <c r="NKL60" s="14"/>
      <c r="NKM60" s="14"/>
      <c r="NKN60" s="54"/>
      <c r="NKO60" s="54"/>
      <c r="NKP60" s="54"/>
      <c r="NKQ60" s="54"/>
      <c r="NKR60" s="55"/>
      <c r="NKS60" s="55"/>
      <c r="NKT60" s="58"/>
      <c r="NKU60" s="58"/>
      <c r="NKV60" s="58"/>
      <c r="NKW60" s="58"/>
      <c r="NKX60" s="58"/>
      <c r="NKY60" s="58"/>
      <c r="NKZ60" s="58"/>
      <c r="NLA60" s="14"/>
      <c r="NLB60" s="14"/>
      <c r="NLC60" s="14"/>
      <c r="NLD60" s="14"/>
      <c r="NLE60" s="54"/>
      <c r="NLF60" s="54"/>
      <c r="NLG60" s="54"/>
      <c r="NLH60" s="54"/>
      <c r="NLI60" s="55"/>
      <c r="NLJ60" s="55"/>
      <c r="NLK60" s="58"/>
      <c r="NLL60" s="58"/>
      <c r="NLM60" s="58"/>
      <c r="NLN60" s="58"/>
      <c r="NLO60" s="58"/>
      <c r="NLP60" s="58"/>
      <c r="NLQ60" s="58"/>
      <c r="NLR60" s="14"/>
      <c r="NLS60" s="14"/>
      <c r="NLT60" s="14"/>
      <c r="NLU60" s="14"/>
      <c r="NLV60" s="54"/>
      <c r="NLW60" s="54"/>
      <c r="NLX60" s="54"/>
      <c r="NLY60" s="54"/>
      <c r="NLZ60" s="55"/>
      <c r="NMA60" s="55"/>
      <c r="NMB60" s="58"/>
      <c r="NMC60" s="58"/>
      <c r="NMD60" s="58"/>
      <c r="NME60" s="58"/>
      <c r="NMF60" s="58"/>
      <c r="NMG60" s="58"/>
      <c r="NMH60" s="58"/>
      <c r="NMI60" s="14"/>
      <c r="NMJ60" s="14"/>
      <c r="NMK60" s="14"/>
      <c r="NML60" s="14"/>
      <c r="NMM60" s="54"/>
      <c r="NMN60" s="54"/>
      <c r="NMO60" s="54"/>
      <c r="NMP60" s="54"/>
      <c r="NMQ60" s="55"/>
      <c r="NMR60" s="55"/>
      <c r="NMS60" s="58"/>
      <c r="NMT60" s="58"/>
      <c r="NMU60" s="58"/>
      <c r="NMV60" s="58"/>
      <c r="NMW60" s="58"/>
      <c r="NMX60" s="58"/>
      <c r="NMY60" s="58"/>
      <c r="NMZ60" s="14"/>
      <c r="NNA60" s="14"/>
      <c r="NNB60" s="14"/>
      <c r="NNC60" s="14"/>
      <c r="NND60" s="54"/>
      <c r="NNE60" s="54"/>
      <c r="NNF60" s="54"/>
      <c r="NNG60" s="54"/>
      <c r="NNH60" s="55"/>
      <c r="NNI60" s="55"/>
      <c r="NNJ60" s="58"/>
      <c r="NNK60" s="58"/>
      <c r="NNL60" s="58"/>
      <c r="NNM60" s="58"/>
      <c r="NNN60" s="58"/>
      <c r="NNO60" s="58"/>
      <c r="NNP60" s="58"/>
      <c r="NNQ60" s="14"/>
      <c r="NNR60" s="14"/>
      <c r="NNS60" s="14"/>
      <c r="NNT60" s="14"/>
      <c r="NNU60" s="54"/>
      <c r="NNV60" s="54"/>
      <c r="NNW60" s="54"/>
      <c r="NNX60" s="54"/>
      <c r="NNY60" s="55"/>
      <c r="NNZ60" s="55"/>
      <c r="NOA60" s="58"/>
      <c r="NOB60" s="58"/>
      <c r="NOC60" s="58"/>
      <c r="NOD60" s="58"/>
      <c r="NOE60" s="58"/>
      <c r="NOF60" s="58"/>
      <c r="NOG60" s="58"/>
      <c r="NOH60" s="14"/>
      <c r="NOI60" s="14"/>
      <c r="NOJ60" s="14"/>
      <c r="NOK60" s="14"/>
      <c r="NOL60" s="54"/>
      <c r="NOM60" s="54"/>
      <c r="NON60" s="54"/>
      <c r="NOO60" s="54"/>
      <c r="NOP60" s="55"/>
      <c r="NOQ60" s="55"/>
      <c r="NOR60" s="58"/>
      <c r="NOS60" s="58"/>
      <c r="NOT60" s="58"/>
      <c r="NOU60" s="58"/>
      <c r="NOV60" s="58"/>
      <c r="NOW60" s="58"/>
      <c r="NOX60" s="58"/>
      <c r="NOY60" s="14"/>
      <c r="NOZ60" s="14"/>
      <c r="NPA60" s="14"/>
      <c r="NPB60" s="14"/>
      <c r="NPC60" s="54"/>
      <c r="NPD60" s="54"/>
      <c r="NPE60" s="54"/>
      <c r="NPF60" s="54"/>
      <c r="NPG60" s="55"/>
      <c r="NPH60" s="55"/>
      <c r="NPI60" s="58"/>
      <c r="NPJ60" s="58"/>
      <c r="NPK60" s="58"/>
      <c r="NPL60" s="58"/>
      <c r="NPM60" s="58"/>
      <c r="NPN60" s="58"/>
      <c r="NPO60" s="58"/>
      <c r="NPP60" s="14"/>
      <c r="NPQ60" s="14"/>
      <c r="NPR60" s="14"/>
      <c r="NPS60" s="14"/>
      <c r="NPT60" s="54"/>
      <c r="NPU60" s="54"/>
      <c r="NPV60" s="54"/>
      <c r="NPW60" s="54"/>
      <c r="NPX60" s="55"/>
      <c r="NPY60" s="55"/>
      <c r="NPZ60" s="58"/>
      <c r="NQA60" s="58"/>
      <c r="NQB60" s="58"/>
      <c r="NQC60" s="58"/>
      <c r="NQD60" s="58"/>
      <c r="NQE60" s="58"/>
      <c r="NQF60" s="58"/>
      <c r="NQG60" s="14"/>
      <c r="NQH60" s="14"/>
      <c r="NQI60" s="14"/>
      <c r="NQJ60" s="14"/>
      <c r="NQK60" s="54"/>
      <c r="NQL60" s="54"/>
      <c r="NQM60" s="54"/>
      <c r="NQN60" s="54"/>
      <c r="NQO60" s="55"/>
      <c r="NQP60" s="55"/>
      <c r="NQQ60" s="58"/>
      <c r="NQR60" s="58"/>
      <c r="NQS60" s="58"/>
      <c r="NQT60" s="58"/>
      <c r="NQU60" s="58"/>
      <c r="NQV60" s="58"/>
      <c r="NQW60" s="58"/>
      <c r="NQX60" s="14"/>
      <c r="NQY60" s="14"/>
      <c r="NQZ60" s="14"/>
      <c r="NRA60" s="14"/>
      <c r="NRB60" s="54"/>
      <c r="NRC60" s="54"/>
      <c r="NRD60" s="54"/>
      <c r="NRE60" s="54"/>
      <c r="NRF60" s="55"/>
      <c r="NRG60" s="55"/>
      <c r="NRH60" s="58"/>
      <c r="NRI60" s="58"/>
      <c r="NRJ60" s="58"/>
      <c r="NRK60" s="58"/>
      <c r="NRL60" s="58"/>
      <c r="NRM60" s="58"/>
      <c r="NRN60" s="58"/>
      <c r="NRO60" s="14"/>
      <c r="NRP60" s="14"/>
      <c r="NRQ60" s="14"/>
      <c r="NRR60" s="14"/>
      <c r="NRS60" s="54"/>
      <c r="NRT60" s="54"/>
      <c r="NRU60" s="54"/>
      <c r="NRV60" s="54"/>
      <c r="NRW60" s="55"/>
      <c r="NRX60" s="55"/>
      <c r="NRY60" s="58"/>
      <c r="NRZ60" s="58"/>
      <c r="NSA60" s="58"/>
      <c r="NSB60" s="58"/>
      <c r="NSC60" s="58"/>
      <c r="NSD60" s="58"/>
      <c r="NSE60" s="58"/>
      <c r="NSF60" s="14"/>
      <c r="NSG60" s="14"/>
      <c r="NSH60" s="14"/>
      <c r="NSI60" s="14"/>
      <c r="NSJ60" s="54"/>
      <c r="NSK60" s="54"/>
      <c r="NSL60" s="54"/>
      <c r="NSM60" s="54"/>
      <c r="NSN60" s="55"/>
      <c r="NSO60" s="55"/>
      <c r="NSP60" s="58"/>
      <c r="NSQ60" s="58"/>
      <c r="NSR60" s="58"/>
      <c r="NSS60" s="58"/>
      <c r="NST60" s="58"/>
      <c r="NSU60" s="58"/>
      <c r="NSV60" s="58"/>
      <c r="NSW60" s="14"/>
      <c r="NSX60" s="14"/>
      <c r="NSY60" s="14"/>
      <c r="NSZ60" s="14"/>
      <c r="NTA60" s="54"/>
      <c r="NTB60" s="54"/>
      <c r="NTC60" s="54"/>
      <c r="NTD60" s="54"/>
      <c r="NTE60" s="55"/>
      <c r="NTF60" s="55"/>
      <c r="NTG60" s="58"/>
      <c r="NTH60" s="58"/>
      <c r="NTI60" s="58"/>
      <c r="NTJ60" s="58"/>
      <c r="NTK60" s="58"/>
      <c r="NTL60" s="58"/>
      <c r="NTM60" s="58"/>
      <c r="NTN60" s="14"/>
      <c r="NTO60" s="14"/>
      <c r="NTP60" s="14"/>
      <c r="NTQ60" s="14"/>
      <c r="NTR60" s="54"/>
      <c r="NTS60" s="54"/>
      <c r="NTT60" s="54"/>
      <c r="NTU60" s="54"/>
      <c r="NTV60" s="55"/>
      <c r="NTW60" s="55"/>
      <c r="NTX60" s="58"/>
      <c r="NTY60" s="58"/>
      <c r="NTZ60" s="58"/>
      <c r="NUA60" s="58"/>
      <c r="NUB60" s="58"/>
      <c r="NUC60" s="58"/>
      <c r="NUD60" s="58"/>
      <c r="NUE60" s="14"/>
      <c r="NUF60" s="14"/>
      <c r="NUG60" s="14"/>
      <c r="NUH60" s="14"/>
      <c r="NUI60" s="54"/>
      <c r="NUJ60" s="54"/>
      <c r="NUK60" s="54"/>
      <c r="NUL60" s="54"/>
      <c r="NUM60" s="55"/>
      <c r="NUN60" s="55"/>
      <c r="NUO60" s="58"/>
      <c r="NUP60" s="58"/>
      <c r="NUQ60" s="58"/>
      <c r="NUR60" s="58"/>
      <c r="NUS60" s="58"/>
      <c r="NUT60" s="58"/>
      <c r="NUU60" s="58"/>
      <c r="NUV60" s="14"/>
      <c r="NUW60" s="14"/>
      <c r="NUX60" s="14"/>
      <c r="NUY60" s="14"/>
      <c r="NUZ60" s="54"/>
      <c r="NVA60" s="54"/>
      <c r="NVB60" s="54"/>
      <c r="NVC60" s="54"/>
      <c r="NVD60" s="55"/>
      <c r="NVE60" s="55"/>
      <c r="NVF60" s="58"/>
      <c r="NVG60" s="58"/>
      <c r="NVH60" s="58"/>
      <c r="NVI60" s="58"/>
      <c r="NVJ60" s="58"/>
      <c r="NVK60" s="58"/>
      <c r="NVL60" s="58"/>
      <c r="NVM60" s="14"/>
      <c r="NVN60" s="14"/>
      <c r="NVO60" s="14"/>
      <c r="NVP60" s="14"/>
      <c r="NVQ60" s="54"/>
      <c r="NVR60" s="54"/>
      <c r="NVS60" s="54"/>
      <c r="NVT60" s="54"/>
      <c r="NVU60" s="55"/>
      <c r="NVV60" s="55"/>
      <c r="NVW60" s="58"/>
      <c r="NVX60" s="58"/>
      <c r="NVY60" s="58"/>
      <c r="NVZ60" s="58"/>
      <c r="NWA60" s="58"/>
      <c r="NWB60" s="58"/>
      <c r="NWC60" s="58"/>
      <c r="NWD60" s="14"/>
      <c r="NWE60" s="14"/>
      <c r="NWF60" s="14"/>
      <c r="NWG60" s="14"/>
      <c r="NWH60" s="54"/>
      <c r="NWI60" s="54"/>
      <c r="NWJ60" s="54"/>
      <c r="NWK60" s="54"/>
      <c r="NWL60" s="55"/>
      <c r="NWM60" s="55"/>
      <c r="NWN60" s="58"/>
      <c r="NWO60" s="58"/>
      <c r="NWP60" s="58"/>
      <c r="NWQ60" s="58"/>
      <c r="NWR60" s="58"/>
      <c r="NWS60" s="58"/>
      <c r="NWT60" s="58"/>
      <c r="NWU60" s="14"/>
      <c r="NWV60" s="14"/>
      <c r="NWW60" s="14"/>
      <c r="NWX60" s="14"/>
      <c r="NWY60" s="54"/>
      <c r="NWZ60" s="54"/>
      <c r="NXA60" s="54"/>
      <c r="NXB60" s="54"/>
      <c r="NXC60" s="55"/>
      <c r="NXD60" s="55"/>
      <c r="NXE60" s="58"/>
      <c r="NXF60" s="58"/>
      <c r="NXG60" s="58"/>
      <c r="NXH60" s="58"/>
      <c r="NXI60" s="58"/>
      <c r="NXJ60" s="58"/>
      <c r="NXK60" s="58"/>
      <c r="NXL60" s="14"/>
      <c r="NXM60" s="14"/>
      <c r="NXN60" s="14"/>
      <c r="NXO60" s="14"/>
      <c r="NXP60" s="54"/>
      <c r="NXQ60" s="54"/>
      <c r="NXR60" s="54"/>
      <c r="NXS60" s="54"/>
      <c r="NXT60" s="55"/>
      <c r="NXU60" s="55"/>
      <c r="NXV60" s="58"/>
      <c r="NXW60" s="58"/>
      <c r="NXX60" s="58"/>
      <c r="NXY60" s="58"/>
      <c r="NXZ60" s="58"/>
      <c r="NYA60" s="58"/>
      <c r="NYB60" s="58"/>
      <c r="NYC60" s="14"/>
      <c r="NYD60" s="14"/>
      <c r="NYE60" s="14"/>
      <c r="NYF60" s="14"/>
      <c r="NYG60" s="54"/>
      <c r="NYH60" s="54"/>
      <c r="NYI60" s="54"/>
      <c r="NYJ60" s="54"/>
      <c r="NYK60" s="55"/>
      <c r="NYL60" s="55"/>
      <c r="NYM60" s="58"/>
      <c r="NYN60" s="58"/>
      <c r="NYO60" s="58"/>
      <c r="NYP60" s="58"/>
      <c r="NYQ60" s="58"/>
      <c r="NYR60" s="58"/>
      <c r="NYS60" s="58"/>
      <c r="NYT60" s="14"/>
      <c r="NYU60" s="14"/>
      <c r="NYV60" s="14"/>
      <c r="NYW60" s="14"/>
      <c r="NYX60" s="54"/>
      <c r="NYY60" s="54"/>
      <c r="NYZ60" s="54"/>
      <c r="NZA60" s="54"/>
      <c r="NZB60" s="55"/>
      <c r="NZC60" s="55"/>
      <c r="NZD60" s="58"/>
      <c r="NZE60" s="58"/>
      <c r="NZF60" s="58"/>
      <c r="NZG60" s="58"/>
      <c r="NZH60" s="58"/>
      <c r="NZI60" s="58"/>
      <c r="NZJ60" s="58"/>
      <c r="NZK60" s="14"/>
      <c r="NZL60" s="14"/>
      <c r="NZM60" s="14"/>
      <c r="NZN60" s="14"/>
      <c r="NZO60" s="54"/>
      <c r="NZP60" s="54"/>
      <c r="NZQ60" s="54"/>
      <c r="NZR60" s="54"/>
      <c r="NZS60" s="55"/>
      <c r="NZT60" s="55"/>
      <c r="NZU60" s="58"/>
      <c r="NZV60" s="58"/>
      <c r="NZW60" s="58"/>
      <c r="NZX60" s="58"/>
      <c r="NZY60" s="58"/>
      <c r="NZZ60" s="58"/>
      <c r="OAA60" s="58"/>
      <c r="OAB60" s="14"/>
      <c r="OAC60" s="14"/>
      <c r="OAD60" s="14"/>
      <c r="OAE60" s="14"/>
      <c r="OAF60" s="54"/>
      <c r="OAG60" s="54"/>
      <c r="OAH60" s="54"/>
      <c r="OAI60" s="54"/>
      <c r="OAJ60" s="55"/>
      <c r="OAK60" s="55"/>
      <c r="OAL60" s="58"/>
      <c r="OAM60" s="58"/>
      <c r="OAN60" s="58"/>
      <c r="OAO60" s="58"/>
      <c r="OAP60" s="58"/>
      <c r="OAQ60" s="58"/>
      <c r="OAR60" s="58"/>
      <c r="OAS60" s="14"/>
      <c r="OAT60" s="14"/>
      <c r="OAU60" s="14"/>
      <c r="OAV60" s="14"/>
      <c r="OAW60" s="54"/>
      <c r="OAX60" s="54"/>
      <c r="OAY60" s="54"/>
      <c r="OAZ60" s="54"/>
      <c r="OBA60" s="55"/>
      <c r="OBB60" s="55"/>
      <c r="OBC60" s="58"/>
      <c r="OBD60" s="58"/>
      <c r="OBE60" s="58"/>
      <c r="OBF60" s="58"/>
      <c r="OBG60" s="58"/>
      <c r="OBH60" s="58"/>
      <c r="OBI60" s="58"/>
      <c r="OBJ60" s="14"/>
      <c r="OBK60" s="14"/>
      <c r="OBL60" s="14"/>
      <c r="OBM60" s="14"/>
      <c r="OBN60" s="54"/>
      <c r="OBO60" s="54"/>
      <c r="OBP60" s="54"/>
      <c r="OBQ60" s="54"/>
      <c r="OBR60" s="55"/>
      <c r="OBS60" s="55"/>
      <c r="OBT60" s="58"/>
      <c r="OBU60" s="58"/>
      <c r="OBV60" s="58"/>
      <c r="OBW60" s="58"/>
      <c r="OBX60" s="58"/>
      <c r="OBY60" s="58"/>
      <c r="OBZ60" s="58"/>
      <c r="OCA60" s="14"/>
      <c r="OCB60" s="14"/>
      <c r="OCC60" s="14"/>
      <c r="OCD60" s="14"/>
      <c r="OCE60" s="54"/>
      <c r="OCF60" s="54"/>
      <c r="OCG60" s="54"/>
      <c r="OCH60" s="54"/>
      <c r="OCI60" s="55"/>
      <c r="OCJ60" s="55"/>
      <c r="OCK60" s="58"/>
      <c r="OCL60" s="58"/>
      <c r="OCM60" s="58"/>
      <c r="OCN60" s="58"/>
      <c r="OCO60" s="58"/>
      <c r="OCP60" s="58"/>
      <c r="OCQ60" s="58"/>
      <c r="OCR60" s="14"/>
      <c r="OCS60" s="14"/>
      <c r="OCT60" s="14"/>
      <c r="OCU60" s="14"/>
      <c r="OCV60" s="54"/>
      <c r="OCW60" s="54"/>
      <c r="OCX60" s="54"/>
      <c r="OCY60" s="54"/>
      <c r="OCZ60" s="55"/>
      <c r="ODA60" s="55"/>
      <c r="ODB60" s="58"/>
      <c r="ODC60" s="58"/>
      <c r="ODD60" s="58"/>
      <c r="ODE60" s="58"/>
      <c r="ODF60" s="58"/>
      <c r="ODG60" s="58"/>
      <c r="ODH60" s="58"/>
      <c r="ODI60" s="14"/>
      <c r="ODJ60" s="14"/>
      <c r="ODK60" s="14"/>
      <c r="ODL60" s="14"/>
      <c r="ODM60" s="54"/>
      <c r="ODN60" s="54"/>
      <c r="ODO60" s="54"/>
      <c r="ODP60" s="54"/>
      <c r="ODQ60" s="55"/>
      <c r="ODR60" s="55"/>
      <c r="ODS60" s="58"/>
      <c r="ODT60" s="58"/>
      <c r="ODU60" s="58"/>
      <c r="ODV60" s="58"/>
      <c r="ODW60" s="58"/>
      <c r="ODX60" s="58"/>
      <c r="ODY60" s="58"/>
      <c r="ODZ60" s="14"/>
      <c r="OEA60" s="14"/>
      <c r="OEB60" s="14"/>
      <c r="OEC60" s="14"/>
      <c r="OED60" s="54"/>
      <c r="OEE60" s="54"/>
      <c r="OEF60" s="54"/>
      <c r="OEG60" s="54"/>
      <c r="OEH60" s="55"/>
      <c r="OEI60" s="55"/>
      <c r="OEJ60" s="58"/>
      <c r="OEK60" s="58"/>
      <c r="OEL60" s="58"/>
      <c r="OEM60" s="58"/>
      <c r="OEN60" s="58"/>
      <c r="OEO60" s="58"/>
      <c r="OEP60" s="58"/>
      <c r="OEQ60" s="14"/>
      <c r="OER60" s="14"/>
      <c r="OES60" s="14"/>
      <c r="OET60" s="14"/>
      <c r="OEU60" s="54"/>
      <c r="OEV60" s="54"/>
      <c r="OEW60" s="54"/>
      <c r="OEX60" s="54"/>
      <c r="OEY60" s="55"/>
      <c r="OEZ60" s="55"/>
      <c r="OFA60" s="58"/>
      <c r="OFB60" s="58"/>
      <c r="OFC60" s="58"/>
      <c r="OFD60" s="58"/>
      <c r="OFE60" s="58"/>
      <c r="OFF60" s="58"/>
      <c r="OFG60" s="58"/>
      <c r="OFH60" s="14"/>
      <c r="OFI60" s="14"/>
      <c r="OFJ60" s="14"/>
      <c r="OFK60" s="14"/>
      <c r="OFL60" s="54"/>
      <c r="OFM60" s="54"/>
      <c r="OFN60" s="54"/>
      <c r="OFO60" s="54"/>
      <c r="OFP60" s="55"/>
      <c r="OFQ60" s="55"/>
      <c r="OFR60" s="58"/>
      <c r="OFS60" s="58"/>
      <c r="OFT60" s="58"/>
      <c r="OFU60" s="58"/>
      <c r="OFV60" s="58"/>
      <c r="OFW60" s="58"/>
      <c r="OFX60" s="58"/>
      <c r="OFY60" s="14"/>
      <c r="OFZ60" s="14"/>
      <c r="OGA60" s="14"/>
      <c r="OGB60" s="14"/>
      <c r="OGC60" s="54"/>
      <c r="OGD60" s="54"/>
      <c r="OGE60" s="54"/>
      <c r="OGF60" s="54"/>
      <c r="OGG60" s="55"/>
      <c r="OGH60" s="55"/>
      <c r="OGI60" s="58"/>
      <c r="OGJ60" s="58"/>
      <c r="OGK60" s="58"/>
      <c r="OGL60" s="58"/>
      <c r="OGM60" s="58"/>
      <c r="OGN60" s="58"/>
      <c r="OGO60" s="58"/>
      <c r="OGP60" s="14"/>
      <c r="OGQ60" s="14"/>
      <c r="OGR60" s="14"/>
      <c r="OGS60" s="14"/>
      <c r="OGT60" s="54"/>
      <c r="OGU60" s="54"/>
      <c r="OGV60" s="54"/>
      <c r="OGW60" s="54"/>
      <c r="OGX60" s="55"/>
      <c r="OGY60" s="55"/>
      <c r="OGZ60" s="58"/>
      <c r="OHA60" s="58"/>
      <c r="OHB60" s="58"/>
      <c r="OHC60" s="58"/>
      <c r="OHD60" s="58"/>
      <c r="OHE60" s="58"/>
      <c r="OHF60" s="58"/>
      <c r="OHG60" s="14"/>
      <c r="OHH60" s="14"/>
      <c r="OHI60" s="14"/>
      <c r="OHJ60" s="14"/>
      <c r="OHK60" s="54"/>
      <c r="OHL60" s="54"/>
      <c r="OHM60" s="54"/>
      <c r="OHN60" s="54"/>
      <c r="OHO60" s="55"/>
      <c r="OHP60" s="55"/>
      <c r="OHQ60" s="58"/>
      <c r="OHR60" s="58"/>
      <c r="OHS60" s="58"/>
      <c r="OHT60" s="58"/>
      <c r="OHU60" s="58"/>
      <c r="OHV60" s="58"/>
      <c r="OHW60" s="58"/>
      <c r="OHX60" s="14"/>
      <c r="OHY60" s="14"/>
      <c r="OHZ60" s="14"/>
      <c r="OIA60" s="14"/>
      <c r="OIB60" s="54"/>
      <c r="OIC60" s="54"/>
      <c r="OID60" s="54"/>
      <c r="OIE60" s="54"/>
      <c r="OIF60" s="55"/>
      <c r="OIG60" s="55"/>
      <c r="OIH60" s="58"/>
      <c r="OII60" s="58"/>
      <c r="OIJ60" s="58"/>
      <c r="OIK60" s="58"/>
      <c r="OIL60" s="58"/>
      <c r="OIM60" s="58"/>
      <c r="OIN60" s="58"/>
      <c r="OIO60" s="14"/>
      <c r="OIP60" s="14"/>
      <c r="OIQ60" s="14"/>
      <c r="OIR60" s="14"/>
      <c r="OIS60" s="54"/>
      <c r="OIT60" s="54"/>
      <c r="OIU60" s="54"/>
      <c r="OIV60" s="54"/>
      <c r="OIW60" s="55"/>
      <c r="OIX60" s="55"/>
      <c r="OIY60" s="58"/>
      <c r="OIZ60" s="58"/>
      <c r="OJA60" s="58"/>
      <c r="OJB60" s="58"/>
      <c r="OJC60" s="58"/>
      <c r="OJD60" s="58"/>
      <c r="OJE60" s="58"/>
      <c r="OJF60" s="14"/>
      <c r="OJG60" s="14"/>
      <c r="OJH60" s="14"/>
      <c r="OJI60" s="14"/>
      <c r="OJJ60" s="54"/>
      <c r="OJK60" s="54"/>
      <c r="OJL60" s="54"/>
      <c r="OJM60" s="54"/>
      <c r="OJN60" s="55"/>
      <c r="OJO60" s="55"/>
      <c r="OJP60" s="58"/>
      <c r="OJQ60" s="58"/>
      <c r="OJR60" s="58"/>
      <c r="OJS60" s="58"/>
      <c r="OJT60" s="58"/>
      <c r="OJU60" s="58"/>
      <c r="OJV60" s="58"/>
      <c r="OJW60" s="14"/>
      <c r="OJX60" s="14"/>
      <c r="OJY60" s="14"/>
      <c r="OJZ60" s="14"/>
      <c r="OKA60" s="54"/>
      <c r="OKB60" s="54"/>
      <c r="OKC60" s="54"/>
      <c r="OKD60" s="54"/>
      <c r="OKE60" s="55"/>
      <c r="OKF60" s="55"/>
      <c r="OKG60" s="58"/>
      <c r="OKH60" s="58"/>
      <c r="OKI60" s="58"/>
      <c r="OKJ60" s="58"/>
      <c r="OKK60" s="58"/>
      <c r="OKL60" s="58"/>
      <c r="OKM60" s="58"/>
      <c r="OKN60" s="14"/>
      <c r="OKO60" s="14"/>
      <c r="OKP60" s="14"/>
      <c r="OKQ60" s="14"/>
      <c r="OKR60" s="54"/>
      <c r="OKS60" s="54"/>
      <c r="OKT60" s="54"/>
      <c r="OKU60" s="54"/>
      <c r="OKV60" s="55"/>
      <c r="OKW60" s="55"/>
      <c r="OKX60" s="58"/>
      <c r="OKY60" s="58"/>
      <c r="OKZ60" s="58"/>
      <c r="OLA60" s="58"/>
      <c r="OLB60" s="58"/>
      <c r="OLC60" s="58"/>
      <c r="OLD60" s="58"/>
      <c r="OLE60" s="14"/>
      <c r="OLF60" s="14"/>
      <c r="OLG60" s="14"/>
      <c r="OLH60" s="14"/>
      <c r="OLI60" s="54"/>
      <c r="OLJ60" s="54"/>
      <c r="OLK60" s="54"/>
      <c r="OLL60" s="54"/>
      <c r="OLM60" s="55"/>
      <c r="OLN60" s="55"/>
      <c r="OLO60" s="58"/>
      <c r="OLP60" s="58"/>
      <c r="OLQ60" s="58"/>
      <c r="OLR60" s="58"/>
      <c r="OLS60" s="58"/>
      <c r="OLT60" s="58"/>
      <c r="OLU60" s="58"/>
      <c r="OLV60" s="14"/>
      <c r="OLW60" s="14"/>
      <c r="OLX60" s="14"/>
      <c r="OLY60" s="14"/>
      <c r="OLZ60" s="54"/>
      <c r="OMA60" s="54"/>
      <c r="OMB60" s="54"/>
      <c r="OMC60" s="54"/>
      <c r="OMD60" s="55"/>
      <c r="OME60" s="55"/>
      <c r="OMF60" s="58"/>
      <c r="OMG60" s="58"/>
      <c r="OMH60" s="58"/>
      <c r="OMI60" s="58"/>
      <c r="OMJ60" s="58"/>
      <c r="OMK60" s="58"/>
      <c r="OML60" s="58"/>
      <c r="OMM60" s="14"/>
      <c r="OMN60" s="14"/>
      <c r="OMO60" s="14"/>
      <c r="OMP60" s="14"/>
      <c r="OMQ60" s="54"/>
      <c r="OMR60" s="54"/>
      <c r="OMS60" s="54"/>
      <c r="OMT60" s="54"/>
      <c r="OMU60" s="55"/>
      <c r="OMV60" s="55"/>
      <c r="OMW60" s="58"/>
      <c r="OMX60" s="58"/>
      <c r="OMY60" s="58"/>
      <c r="OMZ60" s="58"/>
      <c r="ONA60" s="58"/>
      <c r="ONB60" s="58"/>
      <c r="ONC60" s="58"/>
      <c r="OND60" s="14"/>
      <c r="ONE60" s="14"/>
      <c r="ONF60" s="14"/>
      <c r="ONG60" s="14"/>
      <c r="ONH60" s="54"/>
      <c r="ONI60" s="54"/>
      <c r="ONJ60" s="54"/>
      <c r="ONK60" s="54"/>
      <c r="ONL60" s="55"/>
      <c r="ONM60" s="55"/>
      <c r="ONN60" s="58"/>
      <c r="ONO60" s="58"/>
      <c r="ONP60" s="58"/>
      <c r="ONQ60" s="58"/>
      <c r="ONR60" s="58"/>
      <c r="ONS60" s="58"/>
      <c r="ONT60" s="58"/>
      <c r="ONU60" s="14"/>
      <c r="ONV60" s="14"/>
      <c r="ONW60" s="14"/>
      <c r="ONX60" s="14"/>
      <c r="ONY60" s="54"/>
      <c r="ONZ60" s="54"/>
      <c r="OOA60" s="54"/>
      <c r="OOB60" s="54"/>
      <c r="OOC60" s="55"/>
      <c r="OOD60" s="55"/>
      <c r="OOE60" s="58"/>
      <c r="OOF60" s="58"/>
      <c r="OOG60" s="58"/>
      <c r="OOH60" s="58"/>
      <c r="OOI60" s="58"/>
      <c r="OOJ60" s="58"/>
      <c r="OOK60" s="58"/>
      <c r="OOL60" s="14"/>
      <c r="OOM60" s="14"/>
      <c r="OON60" s="14"/>
      <c r="OOO60" s="14"/>
      <c r="OOP60" s="54"/>
      <c r="OOQ60" s="54"/>
      <c r="OOR60" s="54"/>
      <c r="OOS60" s="54"/>
      <c r="OOT60" s="55"/>
      <c r="OOU60" s="55"/>
      <c r="OOV60" s="58"/>
      <c r="OOW60" s="58"/>
      <c r="OOX60" s="58"/>
      <c r="OOY60" s="58"/>
      <c r="OOZ60" s="58"/>
      <c r="OPA60" s="58"/>
      <c r="OPB60" s="58"/>
      <c r="OPC60" s="14"/>
      <c r="OPD60" s="14"/>
      <c r="OPE60" s="14"/>
      <c r="OPF60" s="14"/>
      <c r="OPG60" s="54"/>
      <c r="OPH60" s="54"/>
      <c r="OPI60" s="54"/>
      <c r="OPJ60" s="54"/>
      <c r="OPK60" s="55"/>
      <c r="OPL60" s="55"/>
      <c r="OPM60" s="58"/>
      <c r="OPN60" s="58"/>
      <c r="OPO60" s="58"/>
      <c r="OPP60" s="58"/>
      <c r="OPQ60" s="58"/>
      <c r="OPR60" s="58"/>
      <c r="OPS60" s="58"/>
      <c r="OPT60" s="14"/>
      <c r="OPU60" s="14"/>
      <c r="OPV60" s="14"/>
      <c r="OPW60" s="14"/>
      <c r="OPX60" s="54"/>
      <c r="OPY60" s="54"/>
      <c r="OPZ60" s="54"/>
      <c r="OQA60" s="54"/>
      <c r="OQB60" s="55"/>
      <c r="OQC60" s="55"/>
      <c r="OQD60" s="58"/>
      <c r="OQE60" s="58"/>
      <c r="OQF60" s="58"/>
      <c r="OQG60" s="58"/>
      <c r="OQH60" s="58"/>
      <c r="OQI60" s="58"/>
      <c r="OQJ60" s="58"/>
      <c r="OQK60" s="14"/>
      <c r="OQL60" s="14"/>
      <c r="OQM60" s="14"/>
      <c r="OQN60" s="14"/>
      <c r="OQO60" s="54"/>
      <c r="OQP60" s="54"/>
      <c r="OQQ60" s="54"/>
      <c r="OQR60" s="54"/>
      <c r="OQS60" s="55"/>
      <c r="OQT60" s="55"/>
      <c r="OQU60" s="58"/>
      <c r="OQV60" s="58"/>
      <c r="OQW60" s="58"/>
      <c r="OQX60" s="58"/>
      <c r="OQY60" s="58"/>
      <c r="OQZ60" s="58"/>
      <c r="ORA60" s="58"/>
      <c r="ORB60" s="14"/>
      <c r="ORC60" s="14"/>
      <c r="ORD60" s="14"/>
      <c r="ORE60" s="14"/>
      <c r="ORF60" s="54"/>
      <c r="ORG60" s="54"/>
      <c r="ORH60" s="54"/>
      <c r="ORI60" s="54"/>
      <c r="ORJ60" s="55"/>
      <c r="ORK60" s="55"/>
      <c r="ORL60" s="58"/>
      <c r="ORM60" s="58"/>
      <c r="ORN60" s="58"/>
      <c r="ORO60" s="58"/>
      <c r="ORP60" s="58"/>
      <c r="ORQ60" s="58"/>
      <c r="ORR60" s="58"/>
      <c r="ORS60" s="14"/>
      <c r="ORT60" s="14"/>
      <c r="ORU60" s="14"/>
      <c r="ORV60" s="14"/>
      <c r="ORW60" s="54"/>
      <c r="ORX60" s="54"/>
      <c r="ORY60" s="54"/>
      <c r="ORZ60" s="54"/>
      <c r="OSA60" s="55"/>
      <c r="OSB60" s="55"/>
      <c r="OSC60" s="58"/>
      <c r="OSD60" s="58"/>
      <c r="OSE60" s="58"/>
      <c r="OSF60" s="58"/>
      <c r="OSG60" s="58"/>
      <c r="OSH60" s="58"/>
      <c r="OSI60" s="58"/>
      <c r="OSJ60" s="14"/>
      <c r="OSK60" s="14"/>
      <c r="OSL60" s="14"/>
      <c r="OSM60" s="14"/>
      <c r="OSN60" s="54"/>
      <c r="OSO60" s="54"/>
      <c r="OSP60" s="54"/>
      <c r="OSQ60" s="54"/>
      <c r="OSR60" s="55"/>
      <c r="OSS60" s="55"/>
      <c r="OST60" s="58"/>
      <c r="OSU60" s="58"/>
      <c r="OSV60" s="58"/>
      <c r="OSW60" s="58"/>
      <c r="OSX60" s="58"/>
      <c r="OSY60" s="58"/>
      <c r="OSZ60" s="58"/>
      <c r="OTA60" s="14"/>
      <c r="OTB60" s="14"/>
      <c r="OTC60" s="14"/>
      <c r="OTD60" s="14"/>
      <c r="OTE60" s="54"/>
      <c r="OTF60" s="54"/>
      <c r="OTG60" s="54"/>
      <c r="OTH60" s="54"/>
      <c r="OTI60" s="55"/>
      <c r="OTJ60" s="55"/>
      <c r="OTK60" s="58"/>
      <c r="OTL60" s="58"/>
      <c r="OTM60" s="58"/>
      <c r="OTN60" s="58"/>
      <c r="OTO60" s="58"/>
      <c r="OTP60" s="58"/>
      <c r="OTQ60" s="58"/>
      <c r="OTR60" s="14"/>
      <c r="OTS60" s="14"/>
      <c r="OTT60" s="14"/>
      <c r="OTU60" s="14"/>
      <c r="OTV60" s="54"/>
      <c r="OTW60" s="54"/>
      <c r="OTX60" s="54"/>
      <c r="OTY60" s="54"/>
      <c r="OTZ60" s="55"/>
      <c r="OUA60" s="55"/>
      <c r="OUB60" s="58"/>
      <c r="OUC60" s="58"/>
      <c r="OUD60" s="58"/>
      <c r="OUE60" s="58"/>
      <c r="OUF60" s="58"/>
      <c r="OUG60" s="58"/>
      <c r="OUH60" s="58"/>
      <c r="OUI60" s="14"/>
      <c r="OUJ60" s="14"/>
      <c r="OUK60" s="14"/>
      <c r="OUL60" s="14"/>
      <c r="OUM60" s="54"/>
      <c r="OUN60" s="54"/>
      <c r="OUO60" s="54"/>
      <c r="OUP60" s="54"/>
      <c r="OUQ60" s="55"/>
      <c r="OUR60" s="55"/>
      <c r="OUS60" s="58"/>
      <c r="OUT60" s="58"/>
      <c r="OUU60" s="58"/>
      <c r="OUV60" s="58"/>
      <c r="OUW60" s="58"/>
      <c r="OUX60" s="58"/>
      <c r="OUY60" s="58"/>
      <c r="OUZ60" s="14"/>
      <c r="OVA60" s="14"/>
      <c r="OVB60" s="14"/>
      <c r="OVC60" s="14"/>
      <c r="OVD60" s="54"/>
      <c r="OVE60" s="54"/>
      <c r="OVF60" s="54"/>
      <c r="OVG60" s="54"/>
      <c r="OVH60" s="55"/>
      <c r="OVI60" s="55"/>
      <c r="OVJ60" s="58"/>
      <c r="OVK60" s="58"/>
      <c r="OVL60" s="58"/>
      <c r="OVM60" s="58"/>
      <c r="OVN60" s="58"/>
      <c r="OVO60" s="58"/>
      <c r="OVP60" s="58"/>
      <c r="OVQ60" s="14"/>
      <c r="OVR60" s="14"/>
      <c r="OVS60" s="14"/>
      <c r="OVT60" s="14"/>
      <c r="OVU60" s="54"/>
      <c r="OVV60" s="54"/>
      <c r="OVW60" s="54"/>
      <c r="OVX60" s="54"/>
      <c r="OVY60" s="55"/>
      <c r="OVZ60" s="55"/>
      <c r="OWA60" s="58"/>
      <c r="OWB60" s="58"/>
      <c r="OWC60" s="58"/>
      <c r="OWD60" s="58"/>
      <c r="OWE60" s="58"/>
      <c r="OWF60" s="58"/>
      <c r="OWG60" s="58"/>
      <c r="OWH60" s="14"/>
      <c r="OWI60" s="14"/>
      <c r="OWJ60" s="14"/>
      <c r="OWK60" s="14"/>
      <c r="OWL60" s="54"/>
      <c r="OWM60" s="54"/>
      <c r="OWN60" s="54"/>
      <c r="OWO60" s="54"/>
      <c r="OWP60" s="55"/>
      <c r="OWQ60" s="55"/>
      <c r="OWR60" s="58"/>
      <c r="OWS60" s="58"/>
      <c r="OWT60" s="58"/>
      <c r="OWU60" s="58"/>
      <c r="OWV60" s="58"/>
      <c r="OWW60" s="58"/>
      <c r="OWX60" s="58"/>
      <c r="OWY60" s="14"/>
      <c r="OWZ60" s="14"/>
      <c r="OXA60" s="14"/>
      <c r="OXB60" s="14"/>
      <c r="OXC60" s="54"/>
      <c r="OXD60" s="54"/>
      <c r="OXE60" s="54"/>
      <c r="OXF60" s="54"/>
      <c r="OXG60" s="55"/>
      <c r="OXH60" s="55"/>
      <c r="OXI60" s="58"/>
      <c r="OXJ60" s="58"/>
      <c r="OXK60" s="58"/>
      <c r="OXL60" s="58"/>
      <c r="OXM60" s="58"/>
      <c r="OXN60" s="58"/>
      <c r="OXO60" s="58"/>
      <c r="OXP60" s="14"/>
      <c r="OXQ60" s="14"/>
      <c r="OXR60" s="14"/>
      <c r="OXS60" s="14"/>
      <c r="OXT60" s="54"/>
      <c r="OXU60" s="54"/>
      <c r="OXV60" s="54"/>
      <c r="OXW60" s="54"/>
      <c r="OXX60" s="55"/>
      <c r="OXY60" s="55"/>
      <c r="OXZ60" s="58"/>
      <c r="OYA60" s="58"/>
      <c r="OYB60" s="58"/>
      <c r="OYC60" s="58"/>
      <c r="OYD60" s="58"/>
      <c r="OYE60" s="58"/>
      <c r="OYF60" s="58"/>
      <c r="OYG60" s="14"/>
      <c r="OYH60" s="14"/>
      <c r="OYI60" s="14"/>
      <c r="OYJ60" s="14"/>
      <c r="OYK60" s="54"/>
      <c r="OYL60" s="54"/>
      <c r="OYM60" s="54"/>
      <c r="OYN60" s="54"/>
      <c r="OYO60" s="55"/>
      <c r="OYP60" s="55"/>
      <c r="OYQ60" s="58"/>
      <c r="OYR60" s="58"/>
      <c r="OYS60" s="58"/>
      <c r="OYT60" s="58"/>
      <c r="OYU60" s="58"/>
      <c r="OYV60" s="58"/>
      <c r="OYW60" s="58"/>
      <c r="OYX60" s="14"/>
      <c r="OYY60" s="14"/>
      <c r="OYZ60" s="14"/>
      <c r="OZA60" s="14"/>
      <c r="OZB60" s="54"/>
      <c r="OZC60" s="54"/>
      <c r="OZD60" s="54"/>
      <c r="OZE60" s="54"/>
      <c r="OZF60" s="55"/>
      <c r="OZG60" s="55"/>
      <c r="OZH60" s="58"/>
      <c r="OZI60" s="58"/>
      <c r="OZJ60" s="58"/>
      <c r="OZK60" s="58"/>
      <c r="OZL60" s="58"/>
      <c r="OZM60" s="58"/>
      <c r="OZN60" s="58"/>
      <c r="OZO60" s="14"/>
      <c r="OZP60" s="14"/>
      <c r="OZQ60" s="14"/>
      <c r="OZR60" s="14"/>
      <c r="OZS60" s="54"/>
      <c r="OZT60" s="54"/>
      <c r="OZU60" s="54"/>
      <c r="OZV60" s="54"/>
      <c r="OZW60" s="55"/>
      <c r="OZX60" s="55"/>
      <c r="OZY60" s="58"/>
      <c r="OZZ60" s="58"/>
      <c r="PAA60" s="58"/>
      <c r="PAB60" s="58"/>
      <c r="PAC60" s="58"/>
      <c r="PAD60" s="58"/>
      <c r="PAE60" s="58"/>
      <c r="PAF60" s="14"/>
      <c r="PAG60" s="14"/>
      <c r="PAH60" s="14"/>
      <c r="PAI60" s="14"/>
      <c r="PAJ60" s="54"/>
      <c r="PAK60" s="54"/>
      <c r="PAL60" s="54"/>
      <c r="PAM60" s="54"/>
      <c r="PAN60" s="55"/>
      <c r="PAO60" s="55"/>
      <c r="PAP60" s="58"/>
      <c r="PAQ60" s="58"/>
      <c r="PAR60" s="58"/>
      <c r="PAS60" s="58"/>
      <c r="PAT60" s="58"/>
      <c r="PAU60" s="58"/>
      <c r="PAV60" s="58"/>
      <c r="PAW60" s="14"/>
      <c r="PAX60" s="14"/>
      <c r="PAY60" s="14"/>
      <c r="PAZ60" s="14"/>
      <c r="PBA60" s="54"/>
      <c r="PBB60" s="54"/>
      <c r="PBC60" s="54"/>
      <c r="PBD60" s="54"/>
      <c r="PBE60" s="55"/>
      <c r="PBF60" s="55"/>
      <c r="PBG60" s="58"/>
      <c r="PBH60" s="58"/>
      <c r="PBI60" s="58"/>
      <c r="PBJ60" s="58"/>
      <c r="PBK60" s="58"/>
      <c r="PBL60" s="58"/>
      <c r="PBM60" s="58"/>
      <c r="PBN60" s="14"/>
      <c r="PBO60" s="14"/>
      <c r="PBP60" s="14"/>
      <c r="PBQ60" s="14"/>
      <c r="PBR60" s="54"/>
      <c r="PBS60" s="54"/>
      <c r="PBT60" s="54"/>
      <c r="PBU60" s="54"/>
      <c r="PBV60" s="55"/>
      <c r="PBW60" s="55"/>
      <c r="PBX60" s="58"/>
      <c r="PBY60" s="58"/>
      <c r="PBZ60" s="58"/>
      <c r="PCA60" s="58"/>
      <c r="PCB60" s="58"/>
      <c r="PCC60" s="58"/>
      <c r="PCD60" s="58"/>
      <c r="PCE60" s="14"/>
      <c r="PCF60" s="14"/>
      <c r="PCG60" s="14"/>
      <c r="PCH60" s="14"/>
      <c r="PCI60" s="54"/>
      <c r="PCJ60" s="54"/>
      <c r="PCK60" s="54"/>
      <c r="PCL60" s="54"/>
      <c r="PCM60" s="55"/>
      <c r="PCN60" s="55"/>
      <c r="PCO60" s="58"/>
      <c r="PCP60" s="58"/>
      <c r="PCQ60" s="58"/>
      <c r="PCR60" s="58"/>
      <c r="PCS60" s="58"/>
      <c r="PCT60" s="58"/>
      <c r="PCU60" s="58"/>
      <c r="PCV60" s="14"/>
      <c r="PCW60" s="14"/>
      <c r="PCX60" s="14"/>
      <c r="PCY60" s="14"/>
      <c r="PCZ60" s="54"/>
      <c r="PDA60" s="54"/>
      <c r="PDB60" s="54"/>
      <c r="PDC60" s="54"/>
      <c r="PDD60" s="55"/>
      <c r="PDE60" s="55"/>
      <c r="PDF60" s="58"/>
      <c r="PDG60" s="58"/>
      <c r="PDH60" s="58"/>
      <c r="PDI60" s="58"/>
      <c r="PDJ60" s="58"/>
      <c r="PDK60" s="58"/>
      <c r="PDL60" s="58"/>
      <c r="PDM60" s="14"/>
      <c r="PDN60" s="14"/>
      <c r="PDO60" s="14"/>
      <c r="PDP60" s="14"/>
      <c r="PDQ60" s="54"/>
      <c r="PDR60" s="54"/>
      <c r="PDS60" s="54"/>
      <c r="PDT60" s="54"/>
      <c r="PDU60" s="55"/>
      <c r="PDV60" s="55"/>
      <c r="PDW60" s="58"/>
      <c r="PDX60" s="58"/>
      <c r="PDY60" s="58"/>
      <c r="PDZ60" s="58"/>
      <c r="PEA60" s="58"/>
      <c r="PEB60" s="58"/>
      <c r="PEC60" s="58"/>
      <c r="PED60" s="14"/>
      <c r="PEE60" s="14"/>
      <c r="PEF60" s="14"/>
      <c r="PEG60" s="14"/>
      <c r="PEH60" s="54"/>
      <c r="PEI60" s="54"/>
      <c r="PEJ60" s="54"/>
      <c r="PEK60" s="54"/>
      <c r="PEL60" s="55"/>
      <c r="PEM60" s="55"/>
      <c r="PEN60" s="58"/>
      <c r="PEO60" s="58"/>
      <c r="PEP60" s="58"/>
      <c r="PEQ60" s="58"/>
      <c r="PER60" s="58"/>
      <c r="PES60" s="58"/>
      <c r="PET60" s="58"/>
      <c r="PEU60" s="14"/>
      <c r="PEV60" s="14"/>
      <c r="PEW60" s="14"/>
      <c r="PEX60" s="14"/>
      <c r="PEY60" s="54"/>
      <c r="PEZ60" s="54"/>
      <c r="PFA60" s="54"/>
      <c r="PFB60" s="54"/>
      <c r="PFC60" s="55"/>
      <c r="PFD60" s="55"/>
      <c r="PFE60" s="58"/>
      <c r="PFF60" s="58"/>
      <c r="PFG60" s="58"/>
      <c r="PFH60" s="58"/>
      <c r="PFI60" s="58"/>
      <c r="PFJ60" s="58"/>
      <c r="PFK60" s="58"/>
      <c r="PFL60" s="14"/>
      <c r="PFM60" s="14"/>
      <c r="PFN60" s="14"/>
      <c r="PFO60" s="14"/>
      <c r="PFP60" s="54"/>
      <c r="PFQ60" s="54"/>
      <c r="PFR60" s="54"/>
      <c r="PFS60" s="54"/>
      <c r="PFT60" s="55"/>
      <c r="PFU60" s="55"/>
      <c r="PFV60" s="58"/>
      <c r="PFW60" s="58"/>
      <c r="PFX60" s="58"/>
      <c r="PFY60" s="58"/>
      <c r="PFZ60" s="58"/>
      <c r="PGA60" s="58"/>
      <c r="PGB60" s="58"/>
      <c r="PGC60" s="14"/>
      <c r="PGD60" s="14"/>
      <c r="PGE60" s="14"/>
      <c r="PGF60" s="14"/>
      <c r="PGG60" s="54"/>
      <c r="PGH60" s="54"/>
      <c r="PGI60" s="54"/>
      <c r="PGJ60" s="54"/>
      <c r="PGK60" s="55"/>
      <c r="PGL60" s="55"/>
      <c r="PGM60" s="58"/>
      <c r="PGN60" s="58"/>
      <c r="PGO60" s="58"/>
      <c r="PGP60" s="58"/>
      <c r="PGQ60" s="58"/>
      <c r="PGR60" s="58"/>
      <c r="PGS60" s="58"/>
      <c r="PGT60" s="14"/>
      <c r="PGU60" s="14"/>
      <c r="PGV60" s="14"/>
      <c r="PGW60" s="14"/>
      <c r="PGX60" s="54"/>
      <c r="PGY60" s="54"/>
      <c r="PGZ60" s="54"/>
      <c r="PHA60" s="54"/>
      <c r="PHB60" s="55"/>
      <c r="PHC60" s="55"/>
      <c r="PHD60" s="58"/>
      <c r="PHE60" s="58"/>
      <c r="PHF60" s="58"/>
      <c r="PHG60" s="58"/>
      <c r="PHH60" s="58"/>
      <c r="PHI60" s="58"/>
      <c r="PHJ60" s="58"/>
      <c r="PHK60" s="14"/>
      <c r="PHL60" s="14"/>
      <c r="PHM60" s="14"/>
      <c r="PHN60" s="14"/>
      <c r="PHO60" s="54"/>
      <c r="PHP60" s="54"/>
      <c r="PHQ60" s="54"/>
      <c r="PHR60" s="54"/>
      <c r="PHS60" s="55"/>
      <c r="PHT60" s="55"/>
      <c r="PHU60" s="58"/>
      <c r="PHV60" s="58"/>
      <c r="PHW60" s="58"/>
      <c r="PHX60" s="58"/>
      <c r="PHY60" s="58"/>
      <c r="PHZ60" s="58"/>
      <c r="PIA60" s="58"/>
      <c r="PIB60" s="14"/>
      <c r="PIC60" s="14"/>
      <c r="PID60" s="14"/>
      <c r="PIE60" s="14"/>
      <c r="PIF60" s="54"/>
      <c r="PIG60" s="54"/>
      <c r="PIH60" s="54"/>
      <c r="PII60" s="54"/>
      <c r="PIJ60" s="55"/>
      <c r="PIK60" s="55"/>
      <c r="PIL60" s="58"/>
      <c r="PIM60" s="58"/>
      <c r="PIN60" s="58"/>
      <c r="PIO60" s="58"/>
      <c r="PIP60" s="58"/>
      <c r="PIQ60" s="58"/>
      <c r="PIR60" s="58"/>
      <c r="PIS60" s="14"/>
      <c r="PIT60" s="14"/>
      <c r="PIU60" s="14"/>
      <c r="PIV60" s="14"/>
      <c r="PIW60" s="54"/>
      <c r="PIX60" s="54"/>
      <c r="PIY60" s="54"/>
      <c r="PIZ60" s="54"/>
      <c r="PJA60" s="55"/>
      <c r="PJB60" s="55"/>
      <c r="PJC60" s="58"/>
      <c r="PJD60" s="58"/>
      <c r="PJE60" s="58"/>
      <c r="PJF60" s="58"/>
      <c r="PJG60" s="58"/>
      <c r="PJH60" s="58"/>
      <c r="PJI60" s="58"/>
      <c r="PJJ60" s="14"/>
      <c r="PJK60" s="14"/>
      <c r="PJL60" s="14"/>
      <c r="PJM60" s="14"/>
      <c r="PJN60" s="54"/>
      <c r="PJO60" s="54"/>
      <c r="PJP60" s="54"/>
      <c r="PJQ60" s="54"/>
      <c r="PJR60" s="55"/>
      <c r="PJS60" s="55"/>
      <c r="PJT60" s="58"/>
      <c r="PJU60" s="58"/>
      <c r="PJV60" s="58"/>
      <c r="PJW60" s="58"/>
      <c r="PJX60" s="58"/>
      <c r="PJY60" s="58"/>
      <c r="PJZ60" s="58"/>
      <c r="PKA60" s="14"/>
      <c r="PKB60" s="14"/>
      <c r="PKC60" s="14"/>
      <c r="PKD60" s="14"/>
      <c r="PKE60" s="54"/>
      <c r="PKF60" s="54"/>
      <c r="PKG60" s="54"/>
      <c r="PKH60" s="54"/>
      <c r="PKI60" s="55"/>
      <c r="PKJ60" s="55"/>
      <c r="PKK60" s="58"/>
      <c r="PKL60" s="58"/>
      <c r="PKM60" s="58"/>
      <c r="PKN60" s="58"/>
      <c r="PKO60" s="58"/>
      <c r="PKP60" s="58"/>
      <c r="PKQ60" s="58"/>
      <c r="PKR60" s="14"/>
      <c r="PKS60" s="14"/>
      <c r="PKT60" s="14"/>
      <c r="PKU60" s="14"/>
      <c r="PKV60" s="54"/>
      <c r="PKW60" s="54"/>
      <c r="PKX60" s="54"/>
      <c r="PKY60" s="54"/>
      <c r="PKZ60" s="55"/>
      <c r="PLA60" s="55"/>
      <c r="PLB60" s="58"/>
      <c r="PLC60" s="58"/>
      <c r="PLD60" s="58"/>
      <c r="PLE60" s="58"/>
      <c r="PLF60" s="58"/>
      <c r="PLG60" s="58"/>
      <c r="PLH60" s="58"/>
      <c r="PLI60" s="14"/>
      <c r="PLJ60" s="14"/>
      <c r="PLK60" s="14"/>
      <c r="PLL60" s="14"/>
      <c r="PLM60" s="54"/>
      <c r="PLN60" s="54"/>
      <c r="PLO60" s="54"/>
      <c r="PLP60" s="54"/>
      <c r="PLQ60" s="55"/>
      <c r="PLR60" s="55"/>
      <c r="PLS60" s="58"/>
      <c r="PLT60" s="58"/>
      <c r="PLU60" s="58"/>
      <c r="PLV60" s="58"/>
      <c r="PLW60" s="58"/>
      <c r="PLX60" s="58"/>
      <c r="PLY60" s="58"/>
      <c r="PLZ60" s="14"/>
      <c r="PMA60" s="14"/>
      <c r="PMB60" s="14"/>
      <c r="PMC60" s="14"/>
      <c r="PMD60" s="54"/>
      <c r="PME60" s="54"/>
      <c r="PMF60" s="54"/>
      <c r="PMG60" s="54"/>
      <c r="PMH60" s="55"/>
      <c r="PMI60" s="55"/>
      <c r="PMJ60" s="58"/>
      <c r="PMK60" s="58"/>
      <c r="PML60" s="58"/>
      <c r="PMM60" s="58"/>
      <c r="PMN60" s="58"/>
      <c r="PMO60" s="58"/>
      <c r="PMP60" s="58"/>
      <c r="PMQ60" s="14"/>
      <c r="PMR60" s="14"/>
      <c r="PMS60" s="14"/>
      <c r="PMT60" s="14"/>
      <c r="PMU60" s="54"/>
      <c r="PMV60" s="54"/>
      <c r="PMW60" s="54"/>
      <c r="PMX60" s="54"/>
      <c r="PMY60" s="55"/>
      <c r="PMZ60" s="55"/>
      <c r="PNA60" s="58"/>
      <c r="PNB60" s="58"/>
      <c r="PNC60" s="58"/>
      <c r="PND60" s="58"/>
      <c r="PNE60" s="58"/>
      <c r="PNF60" s="58"/>
      <c r="PNG60" s="58"/>
      <c r="PNH60" s="14"/>
      <c r="PNI60" s="14"/>
      <c r="PNJ60" s="14"/>
      <c r="PNK60" s="14"/>
      <c r="PNL60" s="54"/>
      <c r="PNM60" s="54"/>
      <c r="PNN60" s="54"/>
      <c r="PNO60" s="54"/>
      <c r="PNP60" s="55"/>
      <c r="PNQ60" s="55"/>
      <c r="PNR60" s="58"/>
      <c r="PNS60" s="58"/>
      <c r="PNT60" s="58"/>
      <c r="PNU60" s="58"/>
      <c r="PNV60" s="58"/>
      <c r="PNW60" s="58"/>
      <c r="PNX60" s="58"/>
      <c r="PNY60" s="14"/>
      <c r="PNZ60" s="14"/>
      <c r="POA60" s="14"/>
      <c r="POB60" s="14"/>
      <c r="POC60" s="54"/>
      <c r="POD60" s="54"/>
      <c r="POE60" s="54"/>
      <c r="POF60" s="54"/>
      <c r="POG60" s="55"/>
      <c r="POH60" s="55"/>
      <c r="POI60" s="58"/>
      <c r="POJ60" s="58"/>
      <c r="POK60" s="58"/>
      <c r="POL60" s="58"/>
      <c r="POM60" s="58"/>
      <c r="PON60" s="58"/>
      <c r="POO60" s="58"/>
      <c r="POP60" s="14"/>
      <c r="POQ60" s="14"/>
      <c r="POR60" s="14"/>
      <c r="POS60" s="14"/>
      <c r="POT60" s="54"/>
      <c r="POU60" s="54"/>
      <c r="POV60" s="54"/>
      <c r="POW60" s="54"/>
      <c r="POX60" s="55"/>
      <c r="POY60" s="55"/>
      <c r="POZ60" s="58"/>
      <c r="PPA60" s="58"/>
      <c r="PPB60" s="58"/>
      <c r="PPC60" s="58"/>
      <c r="PPD60" s="58"/>
      <c r="PPE60" s="58"/>
      <c r="PPF60" s="58"/>
      <c r="PPG60" s="14"/>
      <c r="PPH60" s="14"/>
      <c r="PPI60" s="14"/>
      <c r="PPJ60" s="14"/>
      <c r="PPK60" s="54"/>
      <c r="PPL60" s="54"/>
      <c r="PPM60" s="54"/>
      <c r="PPN60" s="54"/>
      <c r="PPO60" s="55"/>
      <c r="PPP60" s="55"/>
      <c r="PPQ60" s="58"/>
      <c r="PPR60" s="58"/>
      <c r="PPS60" s="58"/>
      <c r="PPT60" s="58"/>
      <c r="PPU60" s="58"/>
      <c r="PPV60" s="58"/>
      <c r="PPW60" s="58"/>
      <c r="PPX60" s="14"/>
      <c r="PPY60" s="14"/>
      <c r="PPZ60" s="14"/>
      <c r="PQA60" s="14"/>
      <c r="PQB60" s="54"/>
      <c r="PQC60" s="54"/>
      <c r="PQD60" s="54"/>
      <c r="PQE60" s="54"/>
      <c r="PQF60" s="55"/>
      <c r="PQG60" s="55"/>
      <c r="PQH60" s="58"/>
      <c r="PQI60" s="58"/>
      <c r="PQJ60" s="58"/>
      <c r="PQK60" s="58"/>
      <c r="PQL60" s="58"/>
      <c r="PQM60" s="58"/>
      <c r="PQN60" s="58"/>
      <c r="PQO60" s="14"/>
      <c r="PQP60" s="14"/>
      <c r="PQQ60" s="14"/>
      <c r="PQR60" s="14"/>
      <c r="PQS60" s="54"/>
      <c r="PQT60" s="54"/>
      <c r="PQU60" s="54"/>
      <c r="PQV60" s="54"/>
      <c r="PQW60" s="55"/>
      <c r="PQX60" s="55"/>
      <c r="PQY60" s="58"/>
      <c r="PQZ60" s="58"/>
      <c r="PRA60" s="58"/>
      <c r="PRB60" s="58"/>
      <c r="PRC60" s="58"/>
      <c r="PRD60" s="58"/>
      <c r="PRE60" s="58"/>
      <c r="PRF60" s="14"/>
      <c r="PRG60" s="14"/>
      <c r="PRH60" s="14"/>
      <c r="PRI60" s="14"/>
      <c r="PRJ60" s="54"/>
      <c r="PRK60" s="54"/>
      <c r="PRL60" s="54"/>
      <c r="PRM60" s="54"/>
      <c r="PRN60" s="55"/>
      <c r="PRO60" s="55"/>
      <c r="PRP60" s="58"/>
      <c r="PRQ60" s="58"/>
      <c r="PRR60" s="58"/>
      <c r="PRS60" s="58"/>
      <c r="PRT60" s="58"/>
      <c r="PRU60" s="58"/>
      <c r="PRV60" s="58"/>
      <c r="PRW60" s="14"/>
      <c r="PRX60" s="14"/>
      <c r="PRY60" s="14"/>
      <c r="PRZ60" s="14"/>
      <c r="PSA60" s="54"/>
      <c r="PSB60" s="54"/>
      <c r="PSC60" s="54"/>
      <c r="PSD60" s="54"/>
      <c r="PSE60" s="55"/>
      <c r="PSF60" s="55"/>
      <c r="PSG60" s="58"/>
      <c r="PSH60" s="58"/>
      <c r="PSI60" s="58"/>
      <c r="PSJ60" s="58"/>
      <c r="PSK60" s="58"/>
      <c r="PSL60" s="58"/>
      <c r="PSM60" s="58"/>
      <c r="PSN60" s="14"/>
      <c r="PSO60" s="14"/>
      <c r="PSP60" s="14"/>
      <c r="PSQ60" s="14"/>
      <c r="PSR60" s="54"/>
      <c r="PSS60" s="54"/>
      <c r="PST60" s="54"/>
      <c r="PSU60" s="54"/>
      <c r="PSV60" s="55"/>
      <c r="PSW60" s="55"/>
      <c r="PSX60" s="58"/>
      <c r="PSY60" s="58"/>
      <c r="PSZ60" s="58"/>
      <c r="PTA60" s="58"/>
      <c r="PTB60" s="58"/>
      <c r="PTC60" s="58"/>
      <c r="PTD60" s="58"/>
      <c r="PTE60" s="14"/>
      <c r="PTF60" s="14"/>
      <c r="PTG60" s="14"/>
      <c r="PTH60" s="14"/>
      <c r="PTI60" s="54"/>
      <c r="PTJ60" s="54"/>
      <c r="PTK60" s="54"/>
      <c r="PTL60" s="54"/>
      <c r="PTM60" s="55"/>
      <c r="PTN60" s="55"/>
      <c r="PTO60" s="58"/>
      <c r="PTP60" s="58"/>
      <c r="PTQ60" s="58"/>
      <c r="PTR60" s="58"/>
      <c r="PTS60" s="58"/>
      <c r="PTT60" s="58"/>
      <c r="PTU60" s="58"/>
      <c r="PTV60" s="14"/>
      <c r="PTW60" s="14"/>
      <c r="PTX60" s="14"/>
      <c r="PTY60" s="14"/>
      <c r="PTZ60" s="54"/>
      <c r="PUA60" s="54"/>
      <c r="PUB60" s="54"/>
      <c r="PUC60" s="54"/>
      <c r="PUD60" s="55"/>
      <c r="PUE60" s="55"/>
      <c r="PUF60" s="58"/>
      <c r="PUG60" s="58"/>
      <c r="PUH60" s="58"/>
      <c r="PUI60" s="58"/>
      <c r="PUJ60" s="58"/>
      <c r="PUK60" s="58"/>
      <c r="PUL60" s="58"/>
      <c r="PUM60" s="14"/>
      <c r="PUN60" s="14"/>
      <c r="PUO60" s="14"/>
      <c r="PUP60" s="14"/>
      <c r="PUQ60" s="54"/>
      <c r="PUR60" s="54"/>
      <c r="PUS60" s="54"/>
      <c r="PUT60" s="54"/>
      <c r="PUU60" s="55"/>
      <c r="PUV60" s="55"/>
      <c r="PUW60" s="58"/>
      <c r="PUX60" s="58"/>
      <c r="PUY60" s="58"/>
      <c r="PUZ60" s="58"/>
      <c r="PVA60" s="58"/>
      <c r="PVB60" s="58"/>
      <c r="PVC60" s="58"/>
      <c r="PVD60" s="14"/>
      <c r="PVE60" s="14"/>
      <c r="PVF60" s="14"/>
      <c r="PVG60" s="14"/>
      <c r="PVH60" s="54"/>
      <c r="PVI60" s="54"/>
      <c r="PVJ60" s="54"/>
      <c r="PVK60" s="54"/>
      <c r="PVL60" s="55"/>
      <c r="PVM60" s="55"/>
      <c r="PVN60" s="58"/>
      <c r="PVO60" s="58"/>
      <c r="PVP60" s="58"/>
      <c r="PVQ60" s="58"/>
      <c r="PVR60" s="58"/>
      <c r="PVS60" s="58"/>
      <c r="PVT60" s="58"/>
      <c r="PVU60" s="14"/>
      <c r="PVV60" s="14"/>
      <c r="PVW60" s="14"/>
      <c r="PVX60" s="14"/>
      <c r="PVY60" s="54"/>
      <c r="PVZ60" s="54"/>
      <c r="PWA60" s="54"/>
      <c r="PWB60" s="54"/>
      <c r="PWC60" s="55"/>
      <c r="PWD60" s="55"/>
      <c r="PWE60" s="58"/>
      <c r="PWF60" s="58"/>
      <c r="PWG60" s="58"/>
      <c r="PWH60" s="58"/>
      <c r="PWI60" s="58"/>
      <c r="PWJ60" s="58"/>
      <c r="PWK60" s="58"/>
      <c r="PWL60" s="14"/>
      <c r="PWM60" s="14"/>
      <c r="PWN60" s="14"/>
      <c r="PWO60" s="14"/>
      <c r="PWP60" s="54"/>
      <c r="PWQ60" s="54"/>
      <c r="PWR60" s="54"/>
      <c r="PWS60" s="54"/>
      <c r="PWT60" s="55"/>
      <c r="PWU60" s="55"/>
      <c r="PWV60" s="58"/>
      <c r="PWW60" s="58"/>
      <c r="PWX60" s="58"/>
      <c r="PWY60" s="58"/>
      <c r="PWZ60" s="58"/>
      <c r="PXA60" s="58"/>
      <c r="PXB60" s="58"/>
      <c r="PXC60" s="14"/>
      <c r="PXD60" s="14"/>
      <c r="PXE60" s="14"/>
      <c r="PXF60" s="14"/>
      <c r="PXG60" s="54"/>
      <c r="PXH60" s="54"/>
      <c r="PXI60" s="54"/>
      <c r="PXJ60" s="54"/>
      <c r="PXK60" s="55"/>
      <c r="PXL60" s="55"/>
      <c r="PXM60" s="58"/>
      <c r="PXN60" s="58"/>
      <c r="PXO60" s="58"/>
      <c r="PXP60" s="58"/>
      <c r="PXQ60" s="58"/>
      <c r="PXR60" s="58"/>
      <c r="PXS60" s="58"/>
      <c r="PXT60" s="14"/>
      <c r="PXU60" s="14"/>
      <c r="PXV60" s="14"/>
      <c r="PXW60" s="14"/>
      <c r="PXX60" s="54"/>
      <c r="PXY60" s="54"/>
      <c r="PXZ60" s="54"/>
      <c r="PYA60" s="54"/>
      <c r="PYB60" s="55"/>
      <c r="PYC60" s="55"/>
      <c r="PYD60" s="58"/>
      <c r="PYE60" s="58"/>
      <c r="PYF60" s="58"/>
      <c r="PYG60" s="58"/>
      <c r="PYH60" s="58"/>
      <c r="PYI60" s="58"/>
      <c r="PYJ60" s="58"/>
      <c r="PYK60" s="14"/>
      <c r="PYL60" s="14"/>
      <c r="PYM60" s="14"/>
      <c r="PYN60" s="14"/>
      <c r="PYO60" s="54"/>
      <c r="PYP60" s="54"/>
      <c r="PYQ60" s="54"/>
      <c r="PYR60" s="54"/>
      <c r="PYS60" s="55"/>
      <c r="PYT60" s="55"/>
      <c r="PYU60" s="58"/>
      <c r="PYV60" s="58"/>
      <c r="PYW60" s="58"/>
      <c r="PYX60" s="58"/>
      <c r="PYY60" s="58"/>
      <c r="PYZ60" s="58"/>
      <c r="PZA60" s="58"/>
      <c r="PZB60" s="14"/>
      <c r="PZC60" s="14"/>
      <c r="PZD60" s="14"/>
      <c r="PZE60" s="14"/>
      <c r="PZF60" s="54"/>
      <c r="PZG60" s="54"/>
      <c r="PZH60" s="54"/>
      <c r="PZI60" s="54"/>
      <c r="PZJ60" s="55"/>
      <c r="PZK60" s="55"/>
      <c r="PZL60" s="58"/>
      <c r="PZM60" s="58"/>
      <c r="PZN60" s="58"/>
      <c r="PZO60" s="58"/>
      <c r="PZP60" s="58"/>
      <c r="PZQ60" s="58"/>
      <c r="PZR60" s="58"/>
      <c r="PZS60" s="14"/>
      <c r="PZT60" s="14"/>
      <c r="PZU60" s="14"/>
      <c r="PZV60" s="14"/>
      <c r="PZW60" s="54"/>
      <c r="PZX60" s="54"/>
      <c r="PZY60" s="54"/>
      <c r="PZZ60" s="54"/>
      <c r="QAA60" s="55"/>
      <c r="QAB60" s="55"/>
      <c r="QAC60" s="58"/>
      <c r="QAD60" s="58"/>
      <c r="QAE60" s="58"/>
      <c r="QAF60" s="58"/>
      <c r="QAG60" s="58"/>
      <c r="QAH60" s="58"/>
      <c r="QAI60" s="58"/>
      <c r="QAJ60" s="14"/>
      <c r="QAK60" s="14"/>
      <c r="QAL60" s="14"/>
      <c r="QAM60" s="14"/>
      <c r="QAN60" s="54"/>
      <c r="QAO60" s="54"/>
      <c r="QAP60" s="54"/>
      <c r="QAQ60" s="54"/>
      <c r="QAR60" s="55"/>
      <c r="QAS60" s="55"/>
      <c r="QAT60" s="58"/>
      <c r="QAU60" s="58"/>
      <c r="QAV60" s="58"/>
      <c r="QAW60" s="58"/>
      <c r="QAX60" s="58"/>
      <c r="QAY60" s="58"/>
      <c r="QAZ60" s="58"/>
      <c r="QBA60" s="14"/>
      <c r="QBB60" s="14"/>
      <c r="QBC60" s="14"/>
      <c r="QBD60" s="14"/>
      <c r="QBE60" s="54"/>
      <c r="QBF60" s="54"/>
      <c r="QBG60" s="54"/>
      <c r="QBH60" s="54"/>
      <c r="QBI60" s="55"/>
      <c r="QBJ60" s="55"/>
      <c r="QBK60" s="58"/>
      <c r="QBL60" s="58"/>
      <c r="QBM60" s="58"/>
      <c r="QBN60" s="58"/>
      <c r="QBO60" s="58"/>
      <c r="QBP60" s="58"/>
      <c r="QBQ60" s="58"/>
      <c r="QBR60" s="14"/>
      <c r="QBS60" s="14"/>
      <c r="QBT60" s="14"/>
      <c r="QBU60" s="14"/>
      <c r="QBV60" s="54"/>
      <c r="QBW60" s="54"/>
      <c r="QBX60" s="54"/>
      <c r="QBY60" s="54"/>
      <c r="QBZ60" s="55"/>
      <c r="QCA60" s="55"/>
      <c r="QCB60" s="58"/>
      <c r="QCC60" s="58"/>
      <c r="QCD60" s="58"/>
      <c r="QCE60" s="58"/>
      <c r="QCF60" s="58"/>
      <c r="QCG60" s="58"/>
      <c r="QCH60" s="58"/>
      <c r="QCI60" s="14"/>
      <c r="QCJ60" s="14"/>
      <c r="QCK60" s="14"/>
      <c r="QCL60" s="14"/>
      <c r="QCM60" s="54"/>
      <c r="QCN60" s="54"/>
      <c r="QCO60" s="54"/>
      <c r="QCP60" s="54"/>
      <c r="QCQ60" s="55"/>
      <c r="QCR60" s="55"/>
      <c r="QCS60" s="58"/>
      <c r="QCT60" s="58"/>
      <c r="QCU60" s="58"/>
      <c r="QCV60" s="58"/>
      <c r="QCW60" s="58"/>
      <c r="QCX60" s="58"/>
      <c r="QCY60" s="58"/>
      <c r="QCZ60" s="14"/>
      <c r="QDA60" s="14"/>
      <c r="QDB60" s="14"/>
      <c r="QDC60" s="14"/>
      <c r="QDD60" s="54"/>
      <c r="QDE60" s="54"/>
      <c r="QDF60" s="54"/>
      <c r="QDG60" s="54"/>
      <c r="QDH60" s="55"/>
      <c r="QDI60" s="55"/>
      <c r="QDJ60" s="58"/>
      <c r="QDK60" s="58"/>
      <c r="QDL60" s="58"/>
      <c r="QDM60" s="58"/>
      <c r="QDN60" s="58"/>
      <c r="QDO60" s="58"/>
      <c r="QDP60" s="58"/>
      <c r="QDQ60" s="14"/>
      <c r="QDR60" s="14"/>
      <c r="QDS60" s="14"/>
      <c r="QDT60" s="14"/>
      <c r="QDU60" s="54"/>
      <c r="QDV60" s="54"/>
      <c r="QDW60" s="54"/>
      <c r="QDX60" s="54"/>
      <c r="QDY60" s="55"/>
      <c r="QDZ60" s="55"/>
      <c r="QEA60" s="58"/>
      <c r="QEB60" s="58"/>
      <c r="QEC60" s="58"/>
      <c r="QED60" s="58"/>
      <c r="QEE60" s="58"/>
      <c r="QEF60" s="58"/>
      <c r="QEG60" s="58"/>
      <c r="QEH60" s="14"/>
      <c r="QEI60" s="14"/>
      <c r="QEJ60" s="14"/>
      <c r="QEK60" s="14"/>
      <c r="QEL60" s="54"/>
      <c r="QEM60" s="54"/>
      <c r="QEN60" s="54"/>
      <c r="QEO60" s="54"/>
      <c r="QEP60" s="55"/>
      <c r="QEQ60" s="55"/>
      <c r="QER60" s="58"/>
      <c r="QES60" s="58"/>
      <c r="QET60" s="58"/>
      <c r="QEU60" s="58"/>
      <c r="QEV60" s="58"/>
      <c r="QEW60" s="58"/>
      <c r="QEX60" s="58"/>
      <c r="QEY60" s="14"/>
      <c r="QEZ60" s="14"/>
      <c r="QFA60" s="14"/>
      <c r="QFB60" s="14"/>
      <c r="QFC60" s="54"/>
      <c r="QFD60" s="54"/>
      <c r="QFE60" s="54"/>
      <c r="QFF60" s="54"/>
      <c r="QFG60" s="55"/>
      <c r="QFH60" s="55"/>
      <c r="QFI60" s="58"/>
      <c r="QFJ60" s="58"/>
      <c r="QFK60" s="58"/>
      <c r="QFL60" s="58"/>
      <c r="QFM60" s="58"/>
      <c r="QFN60" s="58"/>
      <c r="QFO60" s="58"/>
      <c r="QFP60" s="14"/>
      <c r="QFQ60" s="14"/>
      <c r="QFR60" s="14"/>
      <c r="QFS60" s="14"/>
      <c r="QFT60" s="54"/>
      <c r="QFU60" s="54"/>
      <c r="QFV60" s="54"/>
      <c r="QFW60" s="54"/>
      <c r="QFX60" s="55"/>
      <c r="QFY60" s="55"/>
      <c r="QFZ60" s="58"/>
      <c r="QGA60" s="58"/>
      <c r="QGB60" s="58"/>
      <c r="QGC60" s="58"/>
      <c r="QGD60" s="58"/>
      <c r="QGE60" s="58"/>
      <c r="QGF60" s="58"/>
      <c r="QGG60" s="14"/>
      <c r="QGH60" s="14"/>
      <c r="QGI60" s="14"/>
      <c r="QGJ60" s="14"/>
      <c r="QGK60" s="54"/>
      <c r="QGL60" s="54"/>
      <c r="QGM60" s="54"/>
      <c r="QGN60" s="54"/>
      <c r="QGO60" s="55"/>
      <c r="QGP60" s="55"/>
      <c r="QGQ60" s="58"/>
      <c r="QGR60" s="58"/>
      <c r="QGS60" s="58"/>
      <c r="QGT60" s="58"/>
      <c r="QGU60" s="58"/>
      <c r="QGV60" s="58"/>
      <c r="QGW60" s="58"/>
      <c r="QGX60" s="14"/>
      <c r="QGY60" s="14"/>
      <c r="QGZ60" s="14"/>
      <c r="QHA60" s="14"/>
      <c r="QHB60" s="54"/>
      <c r="QHC60" s="54"/>
      <c r="QHD60" s="54"/>
      <c r="QHE60" s="54"/>
      <c r="QHF60" s="55"/>
      <c r="QHG60" s="55"/>
      <c r="QHH60" s="58"/>
      <c r="QHI60" s="58"/>
      <c r="QHJ60" s="58"/>
      <c r="QHK60" s="58"/>
      <c r="QHL60" s="58"/>
      <c r="QHM60" s="58"/>
      <c r="QHN60" s="58"/>
      <c r="QHO60" s="14"/>
      <c r="QHP60" s="14"/>
      <c r="QHQ60" s="14"/>
      <c r="QHR60" s="14"/>
      <c r="QHS60" s="54"/>
      <c r="QHT60" s="54"/>
      <c r="QHU60" s="54"/>
      <c r="QHV60" s="54"/>
      <c r="QHW60" s="55"/>
      <c r="QHX60" s="55"/>
      <c r="QHY60" s="58"/>
      <c r="QHZ60" s="58"/>
      <c r="QIA60" s="58"/>
      <c r="QIB60" s="58"/>
      <c r="QIC60" s="58"/>
      <c r="QID60" s="58"/>
      <c r="QIE60" s="58"/>
      <c r="QIF60" s="14"/>
      <c r="QIG60" s="14"/>
      <c r="QIH60" s="14"/>
      <c r="QII60" s="14"/>
      <c r="QIJ60" s="54"/>
      <c r="QIK60" s="54"/>
      <c r="QIL60" s="54"/>
      <c r="QIM60" s="54"/>
      <c r="QIN60" s="55"/>
      <c r="QIO60" s="55"/>
      <c r="QIP60" s="58"/>
      <c r="QIQ60" s="58"/>
      <c r="QIR60" s="58"/>
      <c r="QIS60" s="58"/>
      <c r="QIT60" s="58"/>
      <c r="QIU60" s="58"/>
      <c r="QIV60" s="58"/>
      <c r="QIW60" s="14"/>
      <c r="QIX60" s="14"/>
      <c r="QIY60" s="14"/>
      <c r="QIZ60" s="14"/>
      <c r="QJA60" s="54"/>
      <c r="QJB60" s="54"/>
      <c r="QJC60" s="54"/>
      <c r="QJD60" s="54"/>
      <c r="QJE60" s="55"/>
      <c r="QJF60" s="55"/>
      <c r="QJG60" s="58"/>
      <c r="QJH60" s="58"/>
      <c r="QJI60" s="58"/>
      <c r="QJJ60" s="58"/>
      <c r="QJK60" s="58"/>
      <c r="QJL60" s="58"/>
      <c r="QJM60" s="58"/>
      <c r="QJN60" s="14"/>
      <c r="QJO60" s="14"/>
      <c r="QJP60" s="14"/>
      <c r="QJQ60" s="14"/>
      <c r="QJR60" s="54"/>
      <c r="QJS60" s="54"/>
      <c r="QJT60" s="54"/>
      <c r="QJU60" s="54"/>
      <c r="QJV60" s="55"/>
      <c r="QJW60" s="55"/>
      <c r="QJX60" s="58"/>
      <c r="QJY60" s="58"/>
      <c r="QJZ60" s="58"/>
      <c r="QKA60" s="58"/>
      <c r="QKB60" s="58"/>
      <c r="QKC60" s="58"/>
      <c r="QKD60" s="58"/>
      <c r="QKE60" s="14"/>
      <c r="QKF60" s="14"/>
      <c r="QKG60" s="14"/>
      <c r="QKH60" s="14"/>
      <c r="QKI60" s="54"/>
      <c r="QKJ60" s="54"/>
      <c r="QKK60" s="54"/>
      <c r="QKL60" s="54"/>
      <c r="QKM60" s="55"/>
      <c r="QKN60" s="55"/>
      <c r="QKO60" s="58"/>
      <c r="QKP60" s="58"/>
      <c r="QKQ60" s="58"/>
      <c r="QKR60" s="58"/>
      <c r="QKS60" s="58"/>
      <c r="QKT60" s="58"/>
      <c r="QKU60" s="58"/>
      <c r="QKV60" s="14"/>
      <c r="QKW60" s="14"/>
      <c r="QKX60" s="14"/>
      <c r="QKY60" s="14"/>
      <c r="QKZ60" s="54"/>
      <c r="QLA60" s="54"/>
      <c r="QLB60" s="54"/>
      <c r="QLC60" s="54"/>
      <c r="QLD60" s="55"/>
      <c r="QLE60" s="55"/>
      <c r="QLF60" s="58"/>
      <c r="QLG60" s="58"/>
      <c r="QLH60" s="58"/>
      <c r="QLI60" s="58"/>
      <c r="QLJ60" s="58"/>
      <c r="QLK60" s="58"/>
      <c r="QLL60" s="58"/>
      <c r="QLM60" s="14"/>
      <c r="QLN60" s="14"/>
      <c r="QLO60" s="14"/>
      <c r="QLP60" s="14"/>
      <c r="QLQ60" s="54"/>
      <c r="QLR60" s="54"/>
      <c r="QLS60" s="54"/>
      <c r="QLT60" s="54"/>
      <c r="QLU60" s="55"/>
      <c r="QLV60" s="55"/>
      <c r="QLW60" s="58"/>
      <c r="QLX60" s="58"/>
      <c r="QLY60" s="58"/>
      <c r="QLZ60" s="58"/>
      <c r="QMA60" s="58"/>
      <c r="QMB60" s="58"/>
      <c r="QMC60" s="58"/>
      <c r="QMD60" s="14"/>
      <c r="QME60" s="14"/>
      <c r="QMF60" s="14"/>
      <c r="QMG60" s="14"/>
      <c r="QMH60" s="54"/>
      <c r="QMI60" s="54"/>
      <c r="QMJ60" s="54"/>
      <c r="QMK60" s="54"/>
      <c r="QML60" s="55"/>
      <c r="QMM60" s="55"/>
      <c r="QMN60" s="58"/>
      <c r="QMO60" s="58"/>
      <c r="QMP60" s="58"/>
      <c r="QMQ60" s="58"/>
      <c r="QMR60" s="58"/>
      <c r="QMS60" s="58"/>
      <c r="QMT60" s="58"/>
      <c r="QMU60" s="14"/>
      <c r="QMV60" s="14"/>
      <c r="QMW60" s="14"/>
      <c r="QMX60" s="14"/>
      <c r="QMY60" s="54"/>
      <c r="QMZ60" s="54"/>
      <c r="QNA60" s="54"/>
      <c r="QNB60" s="54"/>
      <c r="QNC60" s="55"/>
      <c r="QND60" s="55"/>
      <c r="QNE60" s="58"/>
      <c r="QNF60" s="58"/>
      <c r="QNG60" s="58"/>
      <c r="QNH60" s="58"/>
      <c r="QNI60" s="58"/>
      <c r="QNJ60" s="58"/>
      <c r="QNK60" s="58"/>
      <c r="QNL60" s="14"/>
      <c r="QNM60" s="14"/>
      <c r="QNN60" s="14"/>
      <c r="QNO60" s="14"/>
      <c r="QNP60" s="54"/>
      <c r="QNQ60" s="54"/>
      <c r="QNR60" s="54"/>
      <c r="QNS60" s="54"/>
      <c r="QNT60" s="55"/>
      <c r="QNU60" s="55"/>
      <c r="QNV60" s="58"/>
      <c r="QNW60" s="58"/>
      <c r="QNX60" s="58"/>
      <c r="QNY60" s="58"/>
      <c r="QNZ60" s="58"/>
      <c r="QOA60" s="58"/>
      <c r="QOB60" s="58"/>
      <c r="QOC60" s="14"/>
      <c r="QOD60" s="14"/>
      <c r="QOE60" s="14"/>
      <c r="QOF60" s="14"/>
      <c r="QOG60" s="54"/>
      <c r="QOH60" s="54"/>
      <c r="QOI60" s="54"/>
      <c r="QOJ60" s="54"/>
      <c r="QOK60" s="55"/>
      <c r="QOL60" s="55"/>
      <c r="QOM60" s="58"/>
      <c r="QON60" s="58"/>
      <c r="QOO60" s="58"/>
      <c r="QOP60" s="58"/>
      <c r="QOQ60" s="58"/>
      <c r="QOR60" s="58"/>
      <c r="QOS60" s="58"/>
      <c r="QOT60" s="14"/>
      <c r="QOU60" s="14"/>
      <c r="QOV60" s="14"/>
      <c r="QOW60" s="14"/>
      <c r="QOX60" s="54"/>
      <c r="QOY60" s="54"/>
      <c r="QOZ60" s="54"/>
      <c r="QPA60" s="54"/>
      <c r="QPB60" s="55"/>
      <c r="QPC60" s="55"/>
      <c r="QPD60" s="58"/>
      <c r="QPE60" s="58"/>
      <c r="QPF60" s="58"/>
      <c r="QPG60" s="58"/>
      <c r="QPH60" s="58"/>
      <c r="QPI60" s="58"/>
      <c r="QPJ60" s="58"/>
      <c r="QPK60" s="14"/>
      <c r="QPL60" s="14"/>
      <c r="QPM60" s="14"/>
      <c r="QPN60" s="14"/>
      <c r="QPO60" s="54"/>
      <c r="QPP60" s="54"/>
      <c r="QPQ60" s="54"/>
      <c r="QPR60" s="54"/>
      <c r="QPS60" s="55"/>
      <c r="QPT60" s="55"/>
      <c r="QPU60" s="58"/>
      <c r="QPV60" s="58"/>
      <c r="QPW60" s="58"/>
      <c r="QPX60" s="58"/>
      <c r="QPY60" s="58"/>
      <c r="QPZ60" s="58"/>
      <c r="QQA60" s="58"/>
      <c r="QQB60" s="14"/>
      <c r="QQC60" s="14"/>
      <c r="QQD60" s="14"/>
      <c r="QQE60" s="14"/>
      <c r="QQF60" s="54"/>
      <c r="QQG60" s="54"/>
      <c r="QQH60" s="54"/>
      <c r="QQI60" s="54"/>
      <c r="QQJ60" s="55"/>
      <c r="QQK60" s="55"/>
      <c r="QQL60" s="58"/>
      <c r="QQM60" s="58"/>
      <c r="QQN60" s="58"/>
      <c r="QQO60" s="58"/>
      <c r="QQP60" s="58"/>
      <c r="QQQ60" s="58"/>
      <c r="QQR60" s="58"/>
      <c r="QQS60" s="14"/>
      <c r="QQT60" s="14"/>
      <c r="QQU60" s="14"/>
      <c r="QQV60" s="14"/>
      <c r="QQW60" s="54"/>
      <c r="QQX60" s="54"/>
      <c r="QQY60" s="54"/>
      <c r="QQZ60" s="54"/>
      <c r="QRA60" s="55"/>
      <c r="QRB60" s="55"/>
      <c r="QRC60" s="58"/>
      <c r="QRD60" s="58"/>
      <c r="QRE60" s="58"/>
      <c r="QRF60" s="58"/>
      <c r="QRG60" s="58"/>
      <c r="QRH60" s="58"/>
      <c r="QRI60" s="58"/>
      <c r="QRJ60" s="14"/>
      <c r="QRK60" s="14"/>
      <c r="QRL60" s="14"/>
      <c r="QRM60" s="14"/>
      <c r="QRN60" s="54"/>
      <c r="QRO60" s="54"/>
      <c r="QRP60" s="54"/>
      <c r="QRQ60" s="54"/>
      <c r="QRR60" s="55"/>
      <c r="QRS60" s="55"/>
      <c r="QRT60" s="58"/>
      <c r="QRU60" s="58"/>
      <c r="QRV60" s="58"/>
      <c r="QRW60" s="58"/>
      <c r="QRX60" s="58"/>
      <c r="QRY60" s="58"/>
      <c r="QRZ60" s="58"/>
      <c r="QSA60" s="14"/>
      <c r="QSB60" s="14"/>
      <c r="QSC60" s="14"/>
      <c r="QSD60" s="14"/>
      <c r="QSE60" s="54"/>
      <c r="QSF60" s="54"/>
      <c r="QSG60" s="54"/>
      <c r="QSH60" s="54"/>
      <c r="QSI60" s="55"/>
      <c r="QSJ60" s="55"/>
      <c r="QSK60" s="58"/>
      <c r="QSL60" s="58"/>
      <c r="QSM60" s="58"/>
      <c r="QSN60" s="58"/>
      <c r="QSO60" s="58"/>
      <c r="QSP60" s="58"/>
      <c r="QSQ60" s="58"/>
      <c r="QSR60" s="14"/>
      <c r="QSS60" s="14"/>
      <c r="QST60" s="14"/>
      <c r="QSU60" s="14"/>
      <c r="QSV60" s="54"/>
      <c r="QSW60" s="54"/>
      <c r="QSX60" s="54"/>
      <c r="QSY60" s="54"/>
      <c r="QSZ60" s="55"/>
      <c r="QTA60" s="55"/>
      <c r="QTB60" s="58"/>
      <c r="QTC60" s="58"/>
      <c r="QTD60" s="58"/>
      <c r="QTE60" s="58"/>
      <c r="QTF60" s="58"/>
      <c r="QTG60" s="58"/>
      <c r="QTH60" s="58"/>
      <c r="QTI60" s="14"/>
      <c r="QTJ60" s="14"/>
      <c r="QTK60" s="14"/>
      <c r="QTL60" s="14"/>
      <c r="QTM60" s="54"/>
      <c r="QTN60" s="54"/>
      <c r="QTO60" s="54"/>
      <c r="QTP60" s="54"/>
      <c r="QTQ60" s="55"/>
      <c r="QTR60" s="55"/>
      <c r="QTS60" s="58"/>
      <c r="QTT60" s="58"/>
      <c r="QTU60" s="58"/>
      <c r="QTV60" s="58"/>
      <c r="QTW60" s="58"/>
      <c r="QTX60" s="58"/>
      <c r="QTY60" s="58"/>
      <c r="QTZ60" s="14"/>
      <c r="QUA60" s="14"/>
      <c r="QUB60" s="14"/>
      <c r="QUC60" s="14"/>
      <c r="QUD60" s="54"/>
      <c r="QUE60" s="54"/>
      <c r="QUF60" s="54"/>
      <c r="QUG60" s="54"/>
      <c r="QUH60" s="55"/>
      <c r="QUI60" s="55"/>
      <c r="QUJ60" s="58"/>
      <c r="QUK60" s="58"/>
      <c r="QUL60" s="58"/>
      <c r="QUM60" s="58"/>
      <c r="QUN60" s="58"/>
      <c r="QUO60" s="58"/>
      <c r="QUP60" s="58"/>
      <c r="QUQ60" s="14"/>
      <c r="QUR60" s="14"/>
      <c r="QUS60" s="14"/>
      <c r="QUT60" s="14"/>
      <c r="QUU60" s="54"/>
      <c r="QUV60" s="54"/>
      <c r="QUW60" s="54"/>
      <c r="QUX60" s="54"/>
      <c r="QUY60" s="55"/>
      <c r="QUZ60" s="55"/>
      <c r="QVA60" s="58"/>
      <c r="QVB60" s="58"/>
      <c r="QVC60" s="58"/>
      <c r="QVD60" s="58"/>
      <c r="QVE60" s="58"/>
      <c r="QVF60" s="58"/>
      <c r="QVG60" s="58"/>
      <c r="QVH60" s="14"/>
      <c r="QVI60" s="14"/>
      <c r="QVJ60" s="14"/>
      <c r="QVK60" s="14"/>
      <c r="QVL60" s="54"/>
      <c r="QVM60" s="54"/>
      <c r="QVN60" s="54"/>
      <c r="QVO60" s="54"/>
      <c r="QVP60" s="55"/>
      <c r="QVQ60" s="55"/>
      <c r="QVR60" s="58"/>
      <c r="QVS60" s="58"/>
      <c r="QVT60" s="58"/>
      <c r="QVU60" s="58"/>
      <c r="QVV60" s="58"/>
      <c r="QVW60" s="58"/>
      <c r="QVX60" s="58"/>
      <c r="QVY60" s="14"/>
      <c r="QVZ60" s="14"/>
      <c r="QWA60" s="14"/>
      <c r="QWB60" s="14"/>
      <c r="QWC60" s="54"/>
      <c r="QWD60" s="54"/>
      <c r="QWE60" s="54"/>
      <c r="QWF60" s="54"/>
      <c r="QWG60" s="55"/>
      <c r="QWH60" s="55"/>
      <c r="QWI60" s="58"/>
      <c r="QWJ60" s="58"/>
      <c r="QWK60" s="58"/>
      <c r="QWL60" s="58"/>
      <c r="QWM60" s="58"/>
      <c r="QWN60" s="58"/>
      <c r="QWO60" s="58"/>
      <c r="QWP60" s="14"/>
      <c r="QWQ60" s="14"/>
      <c r="QWR60" s="14"/>
      <c r="QWS60" s="14"/>
      <c r="QWT60" s="54"/>
      <c r="QWU60" s="54"/>
      <c r="QWV60" s="54"/>
      <c r="QWW60" s="54"/>
      <c r="QWX60" s="55"/>
      <c r="QWY60" s="55"/>
      <c r="QWZ60" s="58"/>
      <c r="QXA60" s="58"/>
      <c r="QXB60" s="58"/>
      <c r="QXC60" s="58"/>
      <c r="QXD60" s="58"/>
      <c r="QXE60" s="58"/>
      <c r="QXF60" s="58"/>
      <c r="QXG60" s="14"/>
      <c r="QXH60" s="14"/>
      <c r="QXI60" s="14"/>
      <c r="QXJ60" s="14"/>
      <c r="QXK60" s="54"/>
      <c r="QXL60" s="54"/>
      <c r="QXM60" s="54"/>
      <c r="QXN60" s="54"/>
      <c r="QXO60" s="55"/>
      <c r="QXP60" s="55"/>
      <c r="QXQ60" s="58"/>
      <c r="QXR60" s="58"/>
      <c r="QXS60" s="58"/>
      <c r="QXT60" s="58"/>
      <c r="QXU60" s="58"/>
      <c r="QXV60" s="58"/>
      <c r="QXW60" s="58"/>
      <c r="QXX60" s="14"/>
      <c r="QXY60" s="14"/>
      <c r="QXZ60" s="14"/>
      <c r="QYA60" s="14"/>
      <c r="QYB60" s="54"/>
      <c r="QYC60" s="54"/>
      <c r="QYD60" s="54"/>
      <c r="QYE60" s="54"/>
      <c r="QYF60" s="55"/>
      <c r="QYG60" s="55"/>
      <c r="QYH60" s="58"/>
      <c r="QYI60" s="58"/>
      <c r="QYJ60" s="58"/>
      <c r="QYK60" s="58"/>
      <c r="QYL60" s="58"/>
      <c r="QYM60" s="58"/>
      <c r="QYN60" s="58"/>
      <c r="QYO60" s="14"/>
      <c r="QYP60" s="14"/>
      <c r="QYQ60" s="14"/>
      <c r="QYR60" s="14"/>
      <c r="QYS60" s="54"/>
      <c r="QYT60" s="54"/>
      <c r="QYU60" s="54"/>
      <c r="QYV60" s="54"/>
      <c r="QYW60" s="55"/>
      <c r="QYX60" s="55"/>
      <c r="QYY60" s="58"/>
      <c r="QYZ60" s="58"/>
      <c r="QZA60" s="58"/>
      <c r="QZB60" s="58"/>
      <c r="QZC60" s="58"/>
      <c r="QZD60" s="58"/>
      <c r="QZE60" s="58"/>
      <c r="QZF60" s="14"/>
      <c r="QZG60" s="14"/>
      <c r="QZH60" s="14"/>
      <c r="QZI60" s="14"/>
      <c r="QZJ60" s="54"/>
      <c r="QZK60" s="54"/>
      <c r="QZL60" s="54"/>
      <c r="QZM60" s="54"/>
      <c r="QZN60" s="55"/>
      <c r="QZO60" s="55"/>
      <c r="QZP60" s="58"/>
      <c r="QZQ60" s="58"/>
      <c r="QZR60" s="58"/>
      <c r="QZS60" s="58"/>
      <c r="QZT60" s="58"/>
      <c r="QZU60" s="58"/>
      <c r="QZV60" s="58"/>
      <c r="QZW60" s="14"/>
      <c r="QZX60" s="14"/>
      <c r="QZY60" s="14"/>
      <c r="QZZ60" s="14"/>
      <c r="RAA60" s="54"/>
      <c r="RAB60" s="54"/>
      <c r="RAC60" s="54"/>
      <c r="RAD60" s="54"/>
      <c r="RAE60" s="55"/>
      <c r="RAF60" s="55"/>
      <c r="RAG60" s="58"/>
      <c r="RAH60" s="58"/>
      <c r="RAI60" s="58"/>
      <c r="RAJ60" s="58"/>
      <c r="RAK60" s="58"/>
      <c r="RAL60" s="58"/>
      <c r="RAM60" s="58"/>
      <c r="RAN60" s="14"/>
      <c r="RAO60" s="14"/>
      <c r="RAP60" s="14"/>
      <c r="RAQ60" s="14"/>
      <c r="RAR60" s="54"/>
      <c r="RAS60" s="54"/>
      <c r="RAT60" s="54"/>
      <c r="RAU60" s="54"/>
      <c r="RAV60" s="55"/>
      <c r="RAW60" s="55"/>
      <c r="RAX60" s="58"/>
      <c r="RAY60" s="58"/>
      <c r="RAZ60" s="58"/>
      <c r="RBA60" s="58"/>
      <c r="RBB60" s="58"/>
      <c r="RBC60" s="58"/>
      <c r="RBD60" s="58"/>
      <c r="RBE60" s="14"/>
      <c r="RBF60" s="14"/>
      <c r="RBG60" s="14"/>
      <c r="RBH60" s="14"/>
      <c r="RBI60" s="54"/>
      <c r="RBJ60" s="54"/>
      <c r="RBK60" s="54"/>
      <c r="RBL60" s="54"/>
      <c r="RBM60" s="55"/>
      <c r="RBN60" s="55"/>
      <c r="RBO60" s="58"/>
      <c r="RBP60" s="58"/>
      <c r="RBQ60" s="58"/>
      <c r="RBR60" s="58"/>
      <c r="RBS60" s="58"/>
      <c r="RBT60" s="58"/>
      <c r="RBU60" s="58"/>
      <c r="RBV60" s="14"/>
      <c r="RBW60" s="14"/>
      <c r="RBX60" s="14"/>
      <c r="RBY60" s="14"/>
      <c r="RBZ60" s="54"/>
      <c r="RCA60" s="54"/>
      <c r="RCB60" s="54"/>
      <c r="RCC60" s="54"/>
      <c r="RCD60" s="55"/>
      <c r="RCE60" s="55"/>
      <c r="RCF60" s="58"/>
      <c r="RCG60" s="58"/>
      <c r="RCH60" s="58"/>
      <c r="RCI60" s="58"/>
      <c r="RCJ60" s="58"/>
      <c r="RCK60" s="58"/>
      <c r="RCL60" s="58"/>
      <c r="RCM60" s="14"/>
      <c r="RCN60" s="14"/>
      <c r="RCO60" s="14"/>
      <c r="RCP60" s="14"/>
      <c r="RCQ60" s="54"/>
      <c r="RCR60" s="54"/>
      <c r="RCS60" s="54"/>
      <c r="RCT60" s="54"/>
      <c r="RCU60" s="55"/>
      <c r="RCV60" s="55"/>
      <c r="RCW60" s="58"/>
      <c r="RCX60" s="58"/>
      <c r="RCY60" s="58"/>
      <c r="RCZ60" s="58"/>
      <c r="RDA60" s="58"/>
      <c r="RDB60" s="58"/>
      <c r="RDC60" s="58"/>
      <c r="RDD60" s="14"/>
      <c r="RDE60" s="14"/>
      <c r="RDF60" s="14"/>
      <c r="RDG60" s="14"/>
      <c r="RDH60" s="54"/>
      <c r="RDI60" s="54"/>
      <c r="RDJ60" s="54"/>
      <c r="RDK60" s="54"/>
      <c r="RDL60" s="55"/>
      <c r="RDM60" s="55"/>
      <c r="RDN60" s="58"/>
      <c r="RDO60" s="58"/>
      <c r="RDP60" s="58"/>
      <c r="RDQ60" s="58"/>
      <c r="RDR60" s="58"/>
      <c r="RDS60" s="58"/>
      <c r="RDT60" s="58"/>
      <c r="RDU60" s="14"/>
      <c r="RDV60" s="14"/>
      <c r="RDW60" s="14"/>
      <c r="RDX60" s="14"/>
      <c r="RDY60" s="54"/>
      <c r="RDZ60" s="54"/>
      <c r="REA60" s="54"/>
      <c r="REB60" s="54"/>
      <c r="REC60" s="55"/>
      <c r="RED60" s="55"/>
      <c r="REE60" s="58"/>
      <c r="REF60" s="58"/>
      <c r="REG60" s="58"/>
      <c r="REH60" s="58"/>
      <c r="REI60" s="58"/>
      <c r="REJ60" s="58"/>
      <c r="REK60" s="58"/>
      <c r="REL60" s="14"/>
      <c r="REM60" s="14"/>
      <c r="REN60" s="14"/>
      <c r="REO60" s="14"/>
      <c r="REP60" s="54"/>
      <c r="REQ60" s="54"/>
      <c r="RER60" s="54"/>
      <c r="RES60" s="54"/>
      <c r="RET60" s="55"/>
      <c r="REU60" s="55"/>
      <c r="REV60" s="58"/>
      <c r="REW60" s="58"/>
      <c r="REX60" s="58"/>
      <c r="REY60" s="58"/>
      <c r="REZ60" s="58"/>
      <c r="RFA60" s="58"/>
      <c r="RFB60" s="58"/>
      <c r="RFC60" s="14"/>
      <c r="RFD60" s="14"/>
      <c r="RFE60" s="14"/>
      <c r="RFF60" s="14"/>
      <c r="RFG60" s="54"/>
      <c r="RFH60" s="54"/>
      <c r="RFI60" s="54"/>
      <c r="RFJ60" s="54"/>
      <c r="RFK60" s="55"/>
      <c r="RFL60" s="55"/>
      <c r="RFM60" s="58"/>
      <c r="RFN60" s="58"/>
      <c r="RFO60" s="58"/>
      <c r="RFP60" s="58"/>
      <c r="RFQ60" s="58"/>
      <c r="RFR60" s="58"/>
      <c r="RFS60" s="58"/>
      <c r="RFT60" s="14"/>
      <c r="RFU60" s="14"/>
      <c r="RFV60" s="14"/>
      <c r="RFW60" s="14"/>
      <c r="RFX60" s="54"/>
      <c r="RFY60" s="54"/>
      <c r="RFZ60" s="54"/>
      <c r="RGA60" s="54"/>
      <c r="RGB60" s="55"/>
      <c r="RGC60" s="55"/>
      <c r="RGD60" s="58"/>
      <c r="RGE60" s="58"/>
      <c r="RGF60" s="58"/>
      <c r="RGG60" s="58"/>
      <c r="RGH60" s="58"/>
      <c r="RGI60" s="58"/>
      <c r="RGJ60" s="58"/>
      <c r="RGK60" s="14"/>
      <c r="RGL60" s="14"/>
      <c r="RGM60" s="14"/>
      <c r="RGN60" s="14"/>
      <c r="RGO60" s="54"/>
      <c r="RGP60" s="54"/>
      <c r="RGQ60" s="54"/>
      <c r="RGR60" s="54"/>
      <c r="RGS60" s="55"/>
      <c r="RGT60" s="55"/>
      <c r="RGU60" s="58"/>
      <c r="RGV60" s="58"/>
      <c r="RGW60" s="58"/>
      <c r="RGX60" s="58"/>
      <c r="RGY60" s="58"/>
      <c r="RGZ60" s="58"/>
      <c r="RHA60" s="58"/>
      <c r="RHB60" s="14"/>
      <c r="RHC60" s="14"/>
      <c r="RHD60" s="14"/>
      <c r="RHE60" s="14"/>
      <c r="RHF60" s="54"/>
      <c r="RHG60" s="54"/>
      <c r="RHH60" s="54"/>
      <c r="RHI60" s="54"/>
      <c r="RHJ60" s="55"/>
      <c r="RHK60" s="55"/>
      <c r="RHL60" s="58"/>
      <c r="RHM60" s="58"/>
      <c r="RHN60" s="58"/>
      <c r="RHO60" s="58"/>
      <c r="RHP60" s="58"/>
      <c r="RHQ60" s="58"/>
      <c r="RHR60" s="58"/>
      <c r="RHS60" s="14"/>
      <c r="RHT60" s="14"/>
      <c r="RHU60" s="14"/>
      <c r="RHV60" s="14"/>
      <c r="RHW60" s="54"/>
      <c r="RHX60" s="54"/>
      <c r="RHY60" s="54"/>
      <c r="RHZ60" s="54"/>
      <c r="RIA60" s="55"/>
      <c r="RIB60" s="55"/>
      <c r="RIC60" s="58"/>
      <c r="RID60" s="58"/>
      <c r="RIE60" s="58"/>
      <c r="RIF60" s="58"/>
      <c r="RIG60" s="58"/>
      <c r="RIH60" s="58"/>
      <c r="RII60" s="58"/>
      <c r="RIJ60" s="14"/>
      <c r="RIK60" s="14"/>
      <c r="RIL60" s="14"/>
      <c r="RIM60" s="14"/>
      <c r="RIN60" s="54"/>
      <c r="RIO60" s="54"/>
      <c r="RIP60" s="54"/>
      <c r="RIQ60" s="54"/>
      <c r="RIR60" s="55"/>
      <c r="RIS60" s="55"/>
      <c r="RIT60" s="58"/>
      <c r="RIU60" s="58"/>
      <c r="RIV60" s="58"/>
      <c r="RIW60" s="58"/>
      <c r="RIX60" s="58"/>
      <c r="RIY60" s="58"/>
      <c r="RIZ60" s="58"/>
      <c r="RJA60" s="14"/>
      <c r="RJB60" s="14"/>
      <c r="RJC60" s="14"/>
      <c r="RJD60" s="14"/>
      <c r="RJE60" s="54"/>
      <c r="RJF60" s="54"/>
      <c r="RJG60" s="54"/>
      <c r="RJH60" s="54"/>
      <c r="RJI60" s="55"/>
      <c r="RJJ60" s="55"/>
      <c r="RJK60" s="58"/>
      <c r="RJL60" s="58"/>
      <c r="RJM60" s="58"/>
      <c r="RJN60" s="58"/>
      <c r="RJO60" s="58"/>
      <c r="RJP60" s="58"/>
      <c r="RJQ60" s="58"/>
      <c r="RJR60" s="14"/>
      <c r="RJS60" s="14"/>
      <c r="RJT60" s="14"/>
      <c r="RJU60" s="14"/>
      <c r="RJV60" s="54"/>
      <c r="RJW60" s="54"/>
      <c r="RJX60" s="54"/>
      <c r="RJY60" s="54"/>
      <c r="RJZ60" s="55"/>
      <c r="RKA60" s="55"/>
      <c r="RKB60" s="58"/>
      <c r="RKC60" s="58"/>
      <c r="RKD60" s="58"/>
      <c r="RKE60" s="58"/>
      <c r="RKF60" s="58"/>
      <c r="RKG60" s="58"/>
      <c r="RKH60" s="58"/>
      <c r="RKI60" s="14"/>
      <c r="RKJ60" s="14"/>
      <c r="RKK60" s="14"/>
      <c r="RKL60" s="14"/>
      <c r="RKM60" s="54"/>
      <c r="RKN60" s="54"/>
      <c r="RKO60" s="54"/>
      <c r="RKP60" s="54"/>
      <c r="RKQ60" s="55"/>
      <c r="RKR60" s="55"/>
      <c r="RKS60" s="58"/>
      <c r="RKT60" s="58"/>
      <c r="RKU60" s="58"/>
      <c r="RKV60" s="58"/>
      <c r="RKW60" s="58"/>
      <c r="RKX60" s="58"/>
      <c r="RKY60" s="58"/>
      <c r="RKZ60" s="14"/>
      <c r="RLA60" s="14"/>
      <c r="RLB60" s="14"/>
      <c r="RLC60" s="14"/>
      <c r="RLD60" s="54"/>
      <c r="RLE60" s="54"/>
      <c r="RLF60" s="54"/>
      <c r="RLG60" s="54"/>
      <c r="RLH60" s="55"/>
      <c r="RLI60" s="55"/>
      <c r="RLJ60" s="58"/>
      <c r="RLK60" s="58"/>
      <c r="RLL60" s="58"/>
      <c r="RLM60" s="58"/>
      <c r="RLN60" s="58"/>
      <c r="RLO60" s="58"/>
      <c r="RLP60" s="58"/>
      <c r="RLQ60" s="14"/>
      <c r="RLR60" s="14"/>
      <c r="RLS60" s="14"/>
      <c r="RLT60" s="14"/>
      <c r="RLU60" s="54"/>
      <c r="RLV60" s="54"/>
      <c r="RLW60" s="54"/>
      <c r="RLX60" s="54"/>
      <c r="RLY60" s="55"/>
      <c r="RLZ60" s="55"/>
      <c r="RMA60" s="58"/>
      <c r="RMB60" s="58"/>
      <c r="RMC60" s="58"/>
      <c r="RMD60" s="58"/>
      <c r="RME60" s="58"/>
      <c r="RMF60" s="58"/>
      <c r="RMG60" s="58"/>
      <c r="RMH60" s="14"/>
      <c r="RMI60" s="14"/>
      <c r="RMJ60" s="14"/>
      <c r="RMK60" s="14"/>
      <c r="RML60" s="54"/>
      <c r="RMM60" s="54"/>
      <c r="RMN60" s="54"/>
      <c r="RMO60" s="54"/>
      <c r="RMP60" s="55"/>
      <c r="RMQ60" s="55"/>
      <c r="RMR60" s="58"/>
      <c r="RMS60" s="58"/>
      <c r="RMT60" s="58"/>
      <c r="RMU60" s="58"/>
      <c r="RMV60" s="58"/>
      <c r="RMW60" s="58"/>
      <c r="RMX60" s="58"/>
      <c r="RMY60" s="14"/>
      <c r="RMZ60" s="14"/>
      <c r="RNA60" s="14"/>
      <c r="RNB60" s="14"/>
      <c r="RNC60" s="54"/>
      <c r="RND60" s="54"/>
      <c r="RNE60" s="54"/>
      <c r="RNF60" s="54"/>
      <c r="RNG60" s="55"/>
      <c r="RNH60" s="55"/>
      <c r="RNI60" s="58"/>
      <c r="RNJ60" s="58"/>
      <c r="RNK60" s="58"/>
      <c r="RNL60" s="58"/>
      <c r="RNM60" s="58"/>
      <c r="RNN60" s="58"/>
      <c r="RNO60" s="58"/>
      <c r="RNP60" s="14"/>
      <c r="RNQ60" s="14"/>
      <c r="RNR60" s="14"/>
      <c r="RNS60" s="14"/>
      <c r="RNT60" s="54"/>
      <c r="RNU60" s="54"/>
      <c r="RNV60" s="54"/>
      <c r="RNW60" s="54"/>
      <c r="RNX60" s="55"/>
      <c r="RNY60" s="55"/>
      <c r="RNZ60" s="58"/>
      <c r="ROA60" s="58"/>
      <c r="ROB60" s="58"/>
      <c r="ROC60" s="58"/>
      <c r="ROD60" s="58"/>
      <c r="ROE60" s="58"/>
      <c r="ROF60" s="58"/>
      <c r="ROG60" s="14"/>
      <c r="ROH60" s="14"/>
      <c r="ROI60" s="14"/>
      <c r="ROJ60" s="14"/>
      <c r="ROK60" s="54"/>
      <c r="ROL60" s="54"/>
      <c r="ROM60" s="54"/>
      <c r="RON60" s="54"/>
      <c r="ROO60" s="55"/>
      <c r="ROP60" s="55"/>
      <c r="ROQ60" s="58"/>
      <c r="ROR60" s="58"/>
      <c r="ROS60" s="58"/>
      <c r="ROT60" s="58"/>
      <c r="ROU60" s="58"/>
      <c r="ROV60" s="58"/>
      <c r="ROW60" s="58"/>
      <c r="ROX60" s="14"/>
      <c r="ROY60" s="14"/>
      <c r="ROZ60" s="14"/>
      <c r="RPA60" s="14"/>
      <c r="RPB60" s="54"/>
      <c r="RPC60" s="54"/>
      <c r="RPD60" s="54"/>
      <c r="RPE60" s="54"/>
      <c r="RPF60" s="55"/>
      <c r="RPG60" s="55"/>
      <c r="RPH60" s="58"/>
      <c r="RPI60" s="58"/>
      <c r="RPJ60" s="58"/>
      <c r="RPK60" s="58"/>
      <c r="RPL60" s="58"/>
      <c r="RPM60" s="58"/>
      <c r="RPN60" s="58"/>
      <c r="RPO60" s="14"/>
      <c r="RPP60" s="14"/>
      <c r="RPQ60" s="14"/>
      <c r="RPR60" s="14"/>
      <c r="RPS60" s="54"/>
      <c r="RPT60" s="54"/>
      <c r="RPU60" s="54"/>
      <c r="RPV60" s="54"/>
      <c r="RPW60" s="55"/>
      <c r="RPX60" s="55"/>
      <c r="RPY60" s="58"/>
      <c r="RPZ60" s="58"/>
      <c r="RQA60" s="58"/>
      <c r="RQB60" s="58"/>
      <c r="RQC60" s="58"/>
      <c r="RQD60" s="58"/>
      <c r="RQE60" s="58"/>
      <c r="RQF60" s="14"/>
      <c r="RQG60" s="14"/>
      <c r="RQH60" s="14"/>
      <c r="RQI60" s="14"/>
      <c r="RQJ60" s="54"/>
      <c r="RQK60" s="54"/>
      <c r="RQL60" s="54"/>
      <c r="RQM60" s="54"/>
      <c r="RQN60" s="55"/>
      <c r="RQO60" s="55"/>
      <c r="RQP60" s="58"/>
      <c r="RQQ60" s="58"/>
      <c r="RQR60" s="58"/>
      <c r="RQS60" s="58"/>
      <c r="RQT60" s="58"/>
      <c r="RQU60" s="58"/>
      <c r="RQV60" s="58"/>
      <c r="RQW60" s="14"/>
      <c r="RQX60" s="14"/>
      <c r="RQY60" s="14"/>
      <c r="RQZ60" s="14"/>
      <c r="RRA60" s="54"/>
      <c r="RRB60" s="54"/>
      <c r="RRC60" s="54"/>
      <c r="RRD60" s="54"/>
      <c r="RRE60" s="55"/>
      <c r="RRF60" s="55"/>
      <c r="RRG60" s="58"/>
      <c r="RRH60" s="58"/>
      <c r="RRI60" s="58"/>
      <c r="RRJ60" s="58"/>
      <c r="RRK60" s="58"/>
      <c r="RRL60" s="58"/>
      <c r="RRM60" s="58"/>
      <c r="RRN60" s="14"/>
      <c r="RRO60" s="14"/>
      <c r="RRP60" s="14"/>
      <c r="RRQ60" s="14"/>
      <c r="RRR60" s="54"/>
      <c r="RRS60" s="54"/>
      <c r="RRT60" s="54"/>
      <c r="RRU60" s="54"/>
      <c r="RRV60" s="55"/>
      <c r="RRW60" s="55"/>
      <c r="RRX60" s="58"/>
      <c r="RRY60" s="58"/>
      <c r="RRZ60" s="58"/>
      <c r="RSA60" s="58"/>
      <c r="RSB60" s="58"/>
      <c r="RSC60" s="58"/>
      <c r="RSD60" s="58"/>
      <c r="RSE60" s="14"/>
      <c r="RSF60" s="14"/>
      <c r="RSG60" s="14"/>
      <c r="RSH60" s="14"/>
      <c r="RSI60" s="54"/>
      <c r="RSJ60" s="54"/>
      <c r="RSK60" s="54"/>
      <c r="RSL60" s="54"/>
      <c r="RSM60" s="55"/>
      <c r="RSN60" s="55"/>
      <c r="RSO60" s="58"/>
      <c r="RSP60" s="58"/>
      <c r="RSQ60" s="58"/>
      <c r="RSR60" s="58"/>
      <c r="RSS60" s="58"/>
      <c r="RST60" s="58"/>
      <c r="RSU60" s="58"/>
      <c r="RSV60" s="14"/>
      <c r="RSW60" s="14"/>
      <c r="RSX60" s="14"/>
      <c r="RSY60" s="14"/>
      <c r="RSZ60" s="54"/>
      <c r="RTA60" s="54"/>
      <c r="RTB60" s="54"/>
      <c r="RTC60" s="54"/>
      <c r="RTD60" s="55"/>
      <c r="RTE60" s="55"/>
      <c r="RTF60" s="58"/>
      <c r="RTG60" s="58"/>
      <c r="RTH60" s="58"/>
      <c r="RTI60" s="58"/>
      <c r="RTJ60" s="58"/>
      <c r="RTK60" s="58"/>
      <c r="RTL60" s="58"/>
      <c r="RTM60" s="14"/>
      <c r="RTN60" s="14"/>
      <c r="RTO60" s="14"/>
      <c r="RTP60" s="14"/>
      <c r="RTQ60" s="54"/>
      <c r="RTR60" s="54"/>
      <c r="RTS60" s="54"/>
      <c r="RTT60" s="54"/>
      <c r="RTU60" s="55"/>
      <c r="RTV60" s="55"/>
      <c r="RTW60" s="58"/>
      <c r="RTX60" s="58"/>
      <c r="RTY60" s="58"/>
      <c r="RTZ60" s="58"/>
      <c r="RUA60" s="58"/>
      <c r="RUB60" s="58"/>
      <c r="RUC60" s="58"/>
      <c r="RUD60" s="14"/>
      <c r="RUE60" s="14"/>
      <c r="RUF60" s="14"/>
      <c r="RUG60" s="14"/>
      <c r="RUH60" s="54"/>
      <c r="RUI60" s="54"/>
      <c r="RUJ60" s="54"/>
      <c r="RUK60" s="54"/>
      <c r="RUL60" s="55"/>
      <c r="RUM60" s="55"/>
      <c r="RUN60" s="58"/>
      <c r="RUO60" s="58"/>
      <c r="RUP60" s="58"/>
      <c r="RUQ60" s="58"/>
      <c r="RUR60" s="58"/>
      <c r="RUS60" s="58"/>
      <c r="RUT60" s="58"/>
      <c r="RUU60" s="14"/>
      <c r="RUV60" s="14"/>
      <c r="RUW60" s="14"/>
      <c r="RUX60" s="14"/>
      <c r="RUY60" s="54"/>
      <c r="RUZ60" s="54"/>
      <c r="RVA60" s="54"/>
      <c r="RVB60" s="54"/>
      <c r="RVC60" s="55"/>
      <c r="RVD60" s="55"/>
      <c r="RVE60" s="58"/>
      <c r="RVF60" s="58"/>
      <c r="RVG60" s="58"/>
      <c r="RVH60" s="58"/>
      <c r="RVI60" s="58"/>
      <c r="RVJ60" s="58"/>
      <c r="RVK60" s="58"/>
      <c r="RVL60" s="14"/>
      <c r="RVM60" s="14"/>
      <c r="RVN60" s="14"/>
      <c r="RVO60" s="14"/>
      <c r="RVP60" s="54"/>
      <c r="RVQ60" s="54"/>
      <c r="RVR60" s="54"/>
      <c r="RVS60" s="54"/>
      <c r="RVT60" s="55"/>
      <c r="RVU60" s="55"/>
      <c r="RVV60" s="58"/>
      <c r="RVW60" s="58"/>
      <c r="RVX60" s="58"/>
      <c r="RVY60" s="58"/>
      <c r="RVZ60" s="58"/>
      <c r="RWA60" s="58"/>
      <c r="RWB60" s="58"/>
      <c r="RWC60" s="14"/>
      <c r="RWD60" s="14"/>
      <c r="RWE60" s="14"/>
      <c r="RWF60" s="14"/>
      <c r="RWG60" s="54"/>
      <c r="RWH60" s="54"/>
      <c r="RWI60" s="54"/>
      <c r="RWJ60" s="54"/>
      <c r="RWK60" s="55"/>
      <c r="RWL60" s="55"/>
      <c r="RWM60" s="58"/>
      <c r="RWN60" s="58"/>
      <c r="RWO60" s="58"/>
      <c r="RWP60" s="58"/>
      <c r="RWQ60" s="58"/>
      <c r="RWR60" s="58"/>
      <c r="RWS60" s="58"/>
      <c r="RWT60" s="14"/>
      <c r="RWU60" s="14"/>
      <c r="RWV60" s="14"/>
      <c r="RWW60" s="14"/>
      <c r="RWX60" s="54"/>
      <c r="RWY60" s="54"/>
      <c r="RWZ60" s="54"/>
      <c r="RXA60" s="54"/>
      <c r="RXB60" s="55"/>
      <c r="RXC60" s="55"/>
      <c r="RXD60" s="58"/>
      <c r="RXE60" s="58"/>
      <c r="RXF60" s="58"/>
      <c r="RXG60" s="58"/>
      <c r="RXH60" s="58"/>
      <c r="RXI60" s="58"/>
      <c r="RXJ60" s="58"/>
      <c r="RXK60" s="14"/>
      <c r="RXL60" s="14"/>
      <c r="RXM60" s="14"/>
      <c r="RXN60" s="14"/>
      <c r="RXO60" s="54"/>
      <c r="RXP60" s="54"/>
      <c r="RXQ60" s="54"/>
      <c r="RXR60" s="54"/>
      <c r="RXS60" s="55"/>
      <c r="RXT60" s="55"/>
      <c r="RXU60" s="58"/>
      <c r="RXV60" s="58"/>
      <c r="RXW60" s="58"/>
      <c r="RXX60" s="58"/>
      <c r="RXY60" s="58"/>
      <c r="RXZ60" s="58"/>
      <c r="RYA60" s="58"/>
      <c r="RYB60" s="14"/>
      <c r="RYC60" s="14"/>
      <c r="RYD60" s="14"/>
      <c r="RYE60" s="14"/>
      <c r="RYF60" s="54"/>
      <c r="RYG60" s="54"/>
      <c r="RYH60" s="54"/>
      <c r="RYI60" s="54"/>
      <c r="RYJ60" s="55"/>
      <c r="RYK60" s="55"/>
      <c r="RYL60" s="58"/>
      <c r="RYM60" s="58"/>
      <c r="RYN60" s="58"/>
      <c r="RYO60" s="58"/>
      <c r="RYP60" s="58"/>
      <c r="RYQ60" s="58"/>
      <c r="RYR60" s="58"/>
      <c r="RYS60" s="14"/>
      <c r="RYT60" s="14"/>
      <c r="RYU60" s="14"/>
      <c r="RYV60" s="14"/>
      <c r="RYW60" s="54"/>
      <c r="RYX60" s="54"/>
      <c r="RYY60" s="54"/>
      <c r="RYZ60" s="54"/>
      <c r="RZA60" s="55"/>
      <c r="RZB60" s="55"/>
      <c r="RZC60" s="58"/>
      <c r="RZD60" s="58"/>
      <c r="RZE60" s="58"/>
      <c r="RZF60" s="58"/>
      <c r="RZG60" s="58"/>
      <c r="RZH60" s="58"/>
      <c r="RZI60" s="58"/>
      <c r="RZJ60" s="14"/>
      <c r="RZK60" s="14"/>
      <c r="RZL60" s="14"/>
      <c r="RZM60" s="14"/>
      <c r="RZN60" s="54"/>
      <c r="RZO60" s="54"/>
      <c r="RZP60" s="54"/>
      <c r="RZQ60" s="54"/>
      <c r="RZR60" s="55"/>
      <c r="RZS60" s="55"/>
      <c r="RZT60" s="58"/>
      <c r="RZU60" s="58"/>
      <c r="RZV60" s="58"/>
      <c r="RZW60" s="58"/>
      <c r="RZX60" s="58"/>
      <c r="RZY60" s="58"/>
      <c r="RZZ60" s="58"/>
      <c r="SAA60" s="14"/>
      <c r="SAB60" s="14"/>
      <c r="SAC60" s="14"/>
      <c r="SAD60" s="14"/>
      <c r="SAE60" s="54"/>
      <c r="SAF60" s="54"/>
      <c r="SAG60" s="54"/>
      <c r="SAH60" s="54"/>
      <c r="SAI60" s="55"/>
      <c r="SAJ60" s="55"/>
      <c r="SAK60" s="58"/>
      <c r="SAL60" s="58"/>
      <c r="SAM60" s="58"/>
      <c r="SAN60" s="58"/>
      <c r="SAO60" s="58"/>
      <c r="SAP60" s="58"/>
      <c r="SAQ60" s="58"/>
      <c r="SAR60" s="14"/>
      <c r="SAS60" s="14"/>
      <c r="SAT60" s="14"/>
      <c r="SAU60" s="14"/>
      <c r="SAV60" s="54"/>
      <c r="SAW60" s="54"/>
      <c r="SAX60" s="54"/>
      <c r="SAY60" s="54"/>
      <c r="SAZ60" s="55"/>
      <c r="SBA60" s="55"/>
      <c r="SBB60" s="58"/>
      <c r="SBC60" s="58"/>
      <c r="SBD60" s="58"/>
      <c r="SBE60" s="58"/>
      <c r="SBF60" s="58"/>
      <c r="SBG60" s="58"/>
      <c r="SBH60" s="58"/>
      <c r="SBI60" s="14"/>
      <c r="SBJ60" s="14"/>
      <c r="SBK60" s="14"/>
      <c r="SBL60" s="14"/>
      <c r="SBM60" s="54"/>
      <c r="SBN60" s="54"/>
      <c r="SBO60" s="54"/>
      <c r="SBP60" s="54"/>
      <c r="SBQ60" s="55"/>
      <c r="SBR60" s="55"/>
      <c r="SBS60" s="58"/>
      <c r="SBT60" s="58"/>
      <c r="SBU60" s="58"/>
      <c r="SBV60" s="58"/>
      <c r="SBW60" s="58"/>
      <c r="SBX60" s="58"/>
      <c r="SBY60" s="58"/>
      <c r="SBZ60" s="14"/>
      <c r="SCA60" s="14"/>
      <c r="SCB60" s="14"/>
      <c r="SCC60" s="14"/>
      <c r="SCD60" s="54"/>
      <c r="SCE60" s="54"/>
      <c r="SCF60" s="54"/>
      <c r="SCG60" s="54"/>
      <c r="SCH60" s="55"/>
      <c r="SCI60" s="55"/>
      <c r="SCJ60" s="58"/>
      <c r="SCK60" s="58"/>
      <c r="SCL60" s="58"/>
      <c r="SCM60" s="58"/>
      <c r="SCN60" s="58"/>
      <c r="SCO60" s="58"/>
      <c r="SCP60" s="58"/>
      <c r="SCQ60" s="14"/>
      <c r="SCR60" s="14"/>
      <c r="SCS60" s="14"/>
      <c r="SCT60" s="14"/>
      <c r="SCU60" s="54"/>
      <c r="SCV60" s="54"/>
      <c r="SCW60" s="54"/>
      <c r="SCX60" s="54"/>
      <c r="SCY60" s="55"/>
      <c r="SCZ60" s="55"/>
      <c r="SDA60" s="58"/>
      <c r="SDB60" s="58"/>
      <c r="SDC60" s="58"/>
      <c r="SDD60" s="58"/>
      <c r="SDE60" s="58"/>
      <c r="SDF60" s="58"/>
      <c r="SDG60" s="58"/>
      <c r="SDH60" s="14"/>
      <c r="SDI60" s="14"/>
      <c r="SDJ60" s="14"/>
      <c r="SDK60" s="14"/>
      <c r="SDL60" s="54"/>
      <c r="SDM60" s="54"/>
      <c r="SDN60" s="54"/>
      <c r="SDO60" s="54"/>
      <c r="SDP60" s="55"/>
      <c r="SDQ60" s="55"/>
      <c r="SDR60" s="58"/>
      <c r="SDS60" s="58"/>
      <c r="SDT60" s="58"/>
      <c r="SDU60" s="58"/>
      <c r="SDV60" s="58"/>
      <c r="SDW60" s="58"/>
      <c r="SDX60" s="58"/>
      <c r="SDY60" s="14"/>
      <c r="SDZ60" s="14"/>
      <c r="SEA60" s="14"/>
      <c r="SEB60" s="14"/>
      <c r="SEC60" s="54"/>
      <c r="SED60" s="54"/>
      <c r="SEE60" s="54"/>
      <c r="SEF60" s="54"/>
      <c r="SEG60" s="55"/>
      <c r="SEH60" s="55"/>
      <c r="SEI60" s="58"/>
      <c r="SEJ60" s="58"/>
      <c r="SEK60" s="58"/>
      <c r="SEL60" s="58"/>
      <c r="SEM60" s="58"/>
      <c r="SEN60" s="58"/>
      <c r="SEO60" s="58"/>
      <c r="SEP60" s="14"/>
      <c r="SEQ60" s="14"/>
      <c r="SER60" s="14"/>
      <c r="SES60" s="14"/>
      <c r="SET60" s="54"/>
      <c r="SEU60" s="54"/>
      <c r="SEV60" s="54"/>
      <c r="SEW60" s="54"/>
      <c r="SEX60" s="55"/>
      <c r="SEY60" s="55"/>
      <c r="SEZ60" s="58"/>
      <c r="SFA60" s="58"/>
      <c r="SFB60" s="58"/>
      <c r="SFC60" s="58"/>
      <c r="SFD60" s="58"/>
      <c r="SFE60" s="58"/>
      <c r="SFF60" s="58"/>
      <c r="SFG60" s="14"/>
      <c r="SFH60" s="14"/>
      <c r="SFI60" s="14"/>
      <c r="SFJ60" s="14"/>
      <c r="SFK60" s="54"/>
      <c r="SFL60" s="54"/>
      <c r="SFM60" s="54"/>
      <c r="SFN60" s="54"/>
      <c r="SFO60" s="55"/>
      <c r="SFP60" s="55"/>
      <c r="SFQ60" s="58"/>
      <c r="SFR60" s="58"/>
      <c r="SFS60" s="58"/>
      <c r="SFT60" s="58"/>
      <c r="SFU60" s="58"/>
      <c r="SFV60" s="58"/>
      <c r="SFW60" s="58"/>
      <c r="SFX60" s="14"/>
      <c r="SFY60" s="14"/>
      <c r="SFZ60" s="14"/>
      <c r="SGA60" s="14"/>
      <c r="SGB60" s="54"/>
      <c r="SGC60" s="54"/>
      <c r="SGD60" s="54"/>
      <c r="SGE60" s="54"/>
      <c r="SGF60" s="55"/>
      <c r="SGG60" s="55"/>
      <c r="SGH60" s="58"/>
      <c r="SGI60" s="58"/>
      <c r="SGJ60" s="58"/>
      <c r="SGK60" s="58"/>
      <c r="SGL60" s="58"/>
      <c r="SGM60" s="58"/>
      <c r="SGN60" s="58"/>
      <c r="SGO60" s="14"/>
      <c r="SGP60" s="14"/>
      <c r="SGQ60" s="14"/>
      <c r="SGR60" s="14"/>
      <c r="SGS60" s="54"/>
      <c r="SGT60" s="54"/>
      <c r="SGU60" s="54"/>
      <c r="SGV60" s="54"/>
      <c r="SGW60" s="55"/>
      <c r="SGX60" s="55"/>
      <c r="SGY60" s="58"/>
      <c r="SGZ60" s="58"/>
      <c r="SHA60" s="58"/>
      <c r="SHB60" s="58"/>
      <c r="SHC60" s="58"/>
      <c r="SHD60" s="58"/>
      <c r="SHE60" s="58"/>
      <c r="SHF60" s="14"/>
      <c r="SHG60" s="14"/>
      <c r="SHH60" s="14"/>
      <c r="SHI60" s="14"/>
      <c r="SHJ60" s="54"/>
      <c r="SHK60" s="54"/>
      <c r="SHL60" s="54"/>
      <c r="SHM60" s="54"/>
      <c r="SHN60" s="55"/>
      <c r="SHO60" s="55"/>
      <c r="SHP60" s="58"/>
      <c r="SHQ60" s="58"/>
      <c r="SHR60" s="58"/>
      <c r="SHS60" s="58"/>
      <c r="SHT60" s="58"/>
      <c r="SHU60" s="58"/>
      <c r="SHV60" s="58"/>
      <c r="SHW60" s="14"/>
      <c r="SHX60" s="14"/>
      <c r="SHY60" s="14"/>
      <c r="SHZ60" s="14"/>
      <c r="SIA60" s="54"/>
      <c r="SIB60" s="54"/>
      <c r="SIC60" s="54"/>
      <c r="SID60" s="54"/>
      <c r="SIE60" s="55"/>
      <c r="SIF60" s="55"/>
      <c r="SIG60" s="58"/>
      <c r="SIH60" s="58"/>
      <c r="SII60" s="58"/>
      <c r="SIJ60" s="58"/>
      <c r="SIK60" s="58"/>
      <c r="SIL60" s="58"/>
      <c r="SIM60" s="58"/>
      <c r="SIN60" s="14"/>
      <c r="SIO60" s="14"/>
      <c r="SIP60" s="14"/>
      <c r="SIQ60" s="14"/>
      <c r="SIR60" s="54"/>
      <c r="SIS60" s="54"/>
      <c r="SIT60" s="54"/>
      <c r="SIU60" s="54"/>
      <c r="SIV60" s="55"/>
      <c r="SIW60" s="55"/>
      <c r="SIX60" s="58"/>
      <c r="SIY60" s="58"/>
      <c r="SIZ60" s="58"/>
      <c r="SJA60" s="58"/>
      <c r="SJB60" s="58"/>
      <c r="SJC60" s="58"/>
      <c r="SJD60" s="58"/>
      <c r="SJE60" s="14"/>
      <c r="SJF60" s="14"/>
      <c r="SJG60" s="14"/>
      <c r="SJH60" s="14"/>
      <c r="SJI60" s="54"/>
      <c r="SJJ60" s="54"/>
      <c r="SJK60" s="54"/>
      <c r="SJL60" s="54"/>
      <c r="SJM60" s="55"/>
      <c r="SJN60" s="55"/>
      <c r="SJO60" s="58"/>
      <c r="SJP60" s="58"/>
      <c r="SJQ60" s="58"/>
      <c r="SJR60" s="58"/>
      <c r="SJS60" s="58"/>
      <c r="SJT60" s="58"/>
      <c r="SJU60" s="58"/>
      <c r="SJV60" s="14"/>
      <c r="SJW60" s="14"/>
      <c r="SJX60" s="14"/>
      <c r="SJY60" s="14"/>
      <c r="SJZ60" s="54"/>
      <c r="SKA60" s="54"/>
      <c r="SKB60" s="54"/>
      <c r="SKC60" s="54"/>
      <c r="SKD60" s="55"/>
      <c r="SKE60" s="55"/>
      <c r="SKF60" s="58"/>
      <c r="SKG60" s="58"/>
      <c r="SKH60" s="58"/>
      <c r="SKI60" s="58"/>
      <c r="SKJ60" s="58"/>
      <c r="SKK60" s="58"/>
      <c r="SKL60" s="58"/>
      <c r="SKM60" s="14"/>
      <c r="SKN60" s="14"/>
      <c r="SKO60" s="14"/>
      <c r="SKP60" s="14"/>
      <c r="SKQ60" s="54"/>
      <c r="SKR60" s="54"/>
      <c r="SKS60" s="54"/>
      <c r="SKT60" s="54"/>
      <c r="SKU60" s="55"/>
      <c r="SKV60" s="55"/>
      <c r="SKW60" s="58"/>
      <c r="SKX60" s="58"/>
      <c r="SKY60" s="58"/>
      <c r="SKZ60" s="58"/>
      <c r="SLA60" s="58"/>
      <c r="SLB60" s="58"/>
      <c r="SLC60" s="58"/>
      <c r="SLD60" s="14"/>
      <c r="SLE60" s="14"/>
      <c r="SLF60" s="14"/>
      <c r="SLG60" s="14"/>
      <c r="SLH60" s="54"/>
      <c r="SLI60" s="54"/>
      <c r="SLJ60" s="54"/>
      <c r="SLK60" s="54"/>
      <c r="SLL60" s="55"/>
      <c r="SLM60" s="55"/>
      <c r="SLN60" s="58"/>
      <c r="SLO60" s="58"/>
      <c r="SLP60" s="58"/>
      <c r="SLQ60" s="58"/>
      <c r="SLR60" s="58"/>
      <c r="SLS60" s="58"/>
      <c r="SLT60" s="58"/>
      <c r="SLU60" s="14"/>
      <c r="SLV60" s="14"/>
      <c r="SLW60" s="14"/>
      <c r="SLX60" s="14"/>
      <c r="SLY60" s="54"/>
      <c r="SLZ60" s="54"/>
      <c r="SMA60" s="54"/>
      <c r="SMB60" s="54"/>
      <c r="SMC60" s="55"/>
      <c r="SMD60" s="55"/>
      <c r="SME60" s="58"/>
      <c r="SMF60" s="58"/>
      <c r="SMG60" s="58"/>
      <c r="SMH60" s="58"/>
      <c r="SMI60" s="58"/>
      <c r="SMJ60" s="58"/>
      <c r="SMK60" s="58"/>
      <c r="SML60" s="14"/>
      <c r="SMM60" s="14"/>
      <c r="SMN60" s="14"/>
      <c r="SMO60" s="14"/>
      <c r="SMP60" s="54"/>
      <c r="SMQ60" s="54"/>
      <c r="SMR60" s="54"/>
      <c r="SMS60" s="54"/>
      <c r="SMT60" s="55"/>
      <c r="SMU60" s="55"/>
      <c r="SMV60" s="58"/>
      <c r="SMW60" s="58"/>
      <c r="SMX60" s="58"/>
      <c r="SMY60" s="58"/>
      <c r="SMZ60" s="58"/>
      <c r="SNA60" s="58"/>
      <c r="SNB60" s="58"/>
      <c r="SNC60" s="14"/>
      <c r="SND60" s="14"/>
      <c r="SNE60" s="14"/>
      <c r="SNF60" s="14"/>
      <c r="SNG60" s="54"/>
      <c r="SNH60" s="54"/>
      <c r="SNI60" s="54"/>
      <c r="SNJ60" s="54"/>
      <c r="SNK60" s="55"/>
      <c r="SNL60" s="55"/>
      <c r="SNM60" s="58"/>
      <c r="SNN60" s="58"/>
      <c r="SNO60" s="58"/>
      <c r="SNP60" s="58"/>
      <c r="SNQ60" s="58"/>
      <c r="SNR60" s="58"/>
      <c r="SNS60" s="58"/>
      <c r="SNT60" s="14"/>
      <c r="SNU60" s="14"/>
      <c r="SNV60" s="14"/>
      <c r="SNW60" s="14"/>
      <c r="SNX60" s="54"/>
      <c r="SNY60" s="54"/>
      <c r="SNZ60" s="54"/>
      <c r="SOA60" s="54"/>
      <c r="SOB60" s="55"/>
      <c r="SOC60" s="55"/>
      <c r="SOD60" s="58"/>
      <c r="SOE60" s="58"/>
      <c r="SOF60" s="58"/>
      <c r="SOG60" s="58"/>
      <c r="SOH60" s="58"/>
      <c r="SOI60" s="58"/>
      <c r="SOJ60" s="58"/>
      <c r="SOK60" s="14"/>
      <c r="SOL60" s="14"/>
      <c r="SOM60" s="14"/>
      <c r="SON60" s="14"/>
      <c r="SOO60" s="54"/>
      <c r="SOP60" s="54"/>
      <c r="SOQ60" s="54"/>
      <c r="SOR60" s="54"/>
      <c r="SOS60" s="55"/>
      <c r="SOT60" s="55"/>
      <c r="SOU60" s="58"/>
      <c r="SOV60" s="58"/>
      <c r="SOW60" s="58"/>
      <c r="SOX60" s="58"/>
      <c r="SOY60" s="58"/>
      <c r="SOZ60" s="58"/>
      <c r="SPA60" s="58"/>
      <c r="SPB60" s="14"/>
      <c r="SPC60" s="14"/>
      <c r="SPD60" s="14"/>
      <c r="SPE60" s="14"/>
      <c r="SPF60" s="54"/>
      <c r="SPG60" s="54"/>
      <c r="SPH60" s="54"/>
      <c r="SPI60" s="54"/>
      <c r="SPJ60" s="55"/>
      <c r="SPK60" s="55"/>
      <c r="SPL60" s="58"/>
      <c r="SPM60" s="58"/>
      <c r="SPN60" s="58"/>
      <c r="SPO60" s="58"/>
      <c r="SPP60" s="58"/>
      <c r="SPQ60" s="58"/>
      <c r="SPR60" s="58"/>
      <c r="SPS60" s="14"/>
      <c r="SPT60" s="14"/>
      <c r="SPU60" s="14"/>
      <c r="SPV60" s="14"/>
      <c r="SPW60" s="54"/>
      <c r="SPX60" s="54"/>
      <c r="SPY60" s="54"/>
      <c r="SPZ60" s="54"/>
      <c r="SQA60" s="55"/>
      <c r="SQB60" s="55"/>
      <c r="SQC60" s="58"/>
      <c r="SQD60" s="58"/>
      <c r="SQE60" s="58"/>
      <c r="SQF60" s="58"/>
      <c r="SQG60" s="58"/>
      <c r="SQH60" s="58"/>
      <c r="SQI60" s="58"/>
      <c r="SQJ60" s="14"/>
      <c r="SQK60" s="14"/>
      <c r="SQL60" s="14"/>
      <c r="SQM60" s="14"/>
      <c r="SQN60" s="54"/>
      <c r="SQO60" s="54"/>
      <c r="SQP60" s="54"/>
      <c r="SQQ60" s="54"/>
      <c r="SQR60" s="55"/>
      <c r="SQS60" s="55"/>
      <c r="SQT60" s="58"/>
      <c r="SQU60" s="58"/>
      <c r="SQV60" s="58"/>
      <c r="SQW60" s="58"/>
      <c r="SQX60" s="58"/>
      <c r="SQY60" s="58"/>
      <c r="SQZ60" s="58"/>
      <c r="SRA60" s="14"/>
      <c r="SRB60" s="14"/>
      <c r="SRC60" s="14"/>
      <c r="SRD60" s="14"/>
      <c r="SRE60" s="54"/>
      <c r="SRF60" s="54"/>
      <c r="SRG60" s="54"/>
      <c r="SRH60" s="54"/>
      <c r="SRI60" s="55"/>
      <c r="SRJ60" s="55"/>
      <c r="SRK60" s="58"/>
      <c r="SRL60" s="58"/>
      <c r="SRM60" s="58"/>
      <c r="SRN60" s="58"/>
      <c r="SRO60" s="58"/>
      <c r="SRP60" s="58"/>
      <c r="SRQ60" s="58"/>
      <c r="SRR60" s="14"/>
      <c r="SRS60" s="14"/>
      <c r="SRT60" s="14"/>
      <c r="SRU60" s="14"/>
      <c r="SRV60" s="54"/>
      <c r="SRW60" s="54"/>
      <c r="SRX60" s="54"/>
      <c r="SRY60" s="54"/>
      <c r="SRZ60" s="55"/>
      <c r="SSA60" s="55"/>
      <c r="SSB60" s="58"/>
      <c r="SSC60" s="58"/>
      <c r="SSD60" s="58"/>
      <c r="SSE60" s="58"/>
      <c r="SSF60" s="58"/>
      <c r="SSG60" s="58"/>
      <c r="SSH60" s="58"/>
      <c r="SSI60" s="14"/>
      <c r="SSJ60" s="14"/>
      <c r="SSK60" s="14"/>
      <c r="SSL60" s="14"/>
      <c r="SSM60" s="54"/>
      <c r="SSN60" s="54"/>
      <c r="SSO60" s="54"/>
      <c r="SSP60" s="54"/>
      <c r="SSQ60" s="55"/>
      <c r="SSR60" s="55"/>
      <c r="SSS60" s="58"/>
      <c r="SST60" s="58"/>
      <c r="SSU60" s="58"/>
      <c r="SSV60" s="58"/>
      <c r="SSW60" s="58"/>
      <c r="SSX60" s="58"/>
      <c r="SSY60" s="58"/>
      <c r="SSZ60" s="14"/>
      <c r="STA60" s="14"/>
      <c r="STB60" s="14"/>
      <c r="STC60" s="14"/>
      <c r="STD60" s="54"/>
      <c r="STE60" s="54"/>
      <c r="STF60" s="54"/>
      <c r="STG60" s="54"/>
      <c r="STH60" s="55"/>
      <c r="STI60" s="55"/>
      <c r="STJ60" s="58"/>
      <c r="STK60" s="58"/>
      <c r="STL60" s="58"/>
      <c r="STM60" s="58"/>
      <c r="STN60" s="58"/>
      <c r="STO60" s="58"/>
      <c r="STP60" s="58"/>
      <c r="STQ60" s="14"/>
      <c r="STR60" s="14"/>
      <c r="STS60" s="14"/>
      <c r="STT60" s="14"/>
      <c r="STU60" s="54"/>
      <c r="STV60" s="54"/>
      <c r="STW60" s="54"/>
      <c r="STX60" s="54"/>
      <c r="STY60" s="55"/>
      <c r="STZ60" s="55"/>
      <c r="SUA60" s="58"/>
      <c r="SUB60" s="58"/>
      <c r="SUC60" s="58"/>
      <c r="SUD60" s="58"/>
      <c r="SUE60" s="58"/>
      <c r="SUF60" s="58"/>
      <c r="SUG60" s="58"/>
      <c r="SUH60" s="14"/>
      <c r="SUI60" s="14"/>
      <c r="SUJ60" s="14"/>
      <c r="SUK60" s="14"/>
      <c r="SUL60" s="54"/>
      <c r="SUM60" s="54"/>
      <c r="SUN60" s="54"/>
      <c r="SUO60" s="54"/>
      <c r="SUP60" s="55"/>
      <c r="SUQ60" s="55"/>
      <c r="SUR60" s="58"/>
      <c r="SUS60" s="58"/>
      <c r="SUT60" s="58"/>
      <c r="SUU60" s="58"/>
      <c r="SUV60" s="58"/>
      <c r="SUW60" s="58"/>
      <c r="SUX60" s="58"/>
      <c r="SUY60" s="14"/>
      <c r="SUZ60" s="14"/>
      <c r="SVA60" s="14"/>
      <c r="SVB60" s="14"/>
      <c r="SVC60" s="54"/>
      <c r="SVD60" s="54"/>
      <c r="SVE60" s="54"/>
      <c r="SVF60" s="54"/>
      <c r="SVG60" s="55"/>
      <c r="SVH60" s="55"/>
      <c r="SVI60" s="58"/>
      <c r="SVJ60" s="58"/>
      <c r="SVK60" s="58"/>
      <c r="SVL60" s="58"/>
      <c r="SVM60" s="58"/>
      <c r="SVN60" s="58"/>
      <c r="SVO60" s="58"/>
      <c r="SVP60" s="14"/>
      <c r="SVQ60" s="14"/>
      <c r="SVR60" s="14"/>
      <c r="SVS60" s="14"/>
      <c r="SVT60" s="54"/>
      <c r="SVU60" s="54"/>
      <c r="SVV60" s="54"/>
      <c r="SVW60" s="54"/>
      <c r="SVX60" s="55"/>
      <c r="SVY60" s="55"/>
      <c r="SVZ60" s="58"/>
      <c r="SWA60" s="58"/>
      <c r="SWB60" s="58"/>
      <c r="SWC60" s="58"/>
      <c r="SWD60" s="58"/>
      <c r="SWE60" s="58"/>
      <c r="SWF60" s="58"/>
      <c r="SWG60" s="14"/>
      <c r="SWH60" s="14"/>
      <c r="SWI60" s="14"/>
      <c r="SWJ60" s="14"/>
      <c r="SWK60" s="54"/>
      <c r="SWL60" s="54"/>
      <c r="SWM60" s="54"/>
      <c r="SWN60" s="54"/>
      <c r="SWO60" s="55"/>
      <c r="SWP60" s="55"/>
      <c r="SWQ60" s="58"/>
      <c r="SWR60" s="58"/>
      <c r="SWS60" s="58"/>
      <c r="SWT60" s="58"/>
      <c r="SWU60" s="58"/>
      <c r="SWV60" s="58"/>
      <c r="SWW60" s="58"/>
      <c r="SWX60" s="14"/>
      <c r="SWY60" s="14"/>
      <c r="SWZ60" s="14"/>
      <c r="SXA60" s="14"/>
      <c r="SXB60" s="54"/>
      <c r="SXC60" s="54"/>
      <c r="SXD60" s="54"/>
      <c r="SXE60" s="54"/>
      <c r="SXF60" s="55"/>
      <c r="SXG60" s="55"/>
      <c r="SXH60" s="58"/>
      <c r="SXI60" s="58"/>
      <c r="SXJ60" s="58"/>
      <c r="SXK60" s="58"/>
      <c r="SXL60" s="58"/>
      <c r="SXM60" s="58"/>
      <c r="SXN60" s="58"/>
      <c r="SXO60" s="14"/>
      <c r="SXP60" s="14"/>
      <c r="SXQ60" s="14"/>
      <c r="SXR60" s="14"/>
      <c r="SXS60" s="54"/>
      <c r="SXT60" s="54"/>
      <c r="SXU60" s="54"/>
      <c r="SXV60" s="54"/>
      <c r="SXW60" s="55"/>
      <c r="SXX60" s="55"/>
      <c r="SXY60" s="58"/>
      <c r="SXZ60" s="58"/>
      <c r="SYA60" s="58"/>
      <c r="SYB60" s="58"/>
      <c r="SYC60" s="58"/>
      <c r="SYD60" s="58"/>
      <c r="SYE60" s="58"/>
      <c r="SYF60" s="14"/>
      <c r="SYG60" s="14"/>
      <c r="SYH60" s="14"/>
      <c r="SYI60" s="14"/>
      <c r="SYJ60" s="54"/>
      <c r="SYK60" s="54"/>
      <c r="SYL60" s="54"/>
      <c r="SYM60" s="54"/>
      <c r="SYN60" s="55"/>
      <c r="SYO60" s="55"/>
      <c r="SYP60" s="58"/>
      <c r="SYQ60" s="58"/>
      <c r="SYR60" s="58"/>
      <c r="SYS60" s="58"/>
      <c r="SYT60" s="58"/>
      <c r="SYU60" s="58"/>
      <c r="SYV60" s="58"/>
      <c r="SYW60" s="14"/>
      <c r="SYX60" s="14"/>
      <c r="SYY60" s="14"/>
      <c r="SYZ60" s="14"/>
      <c r="SZA60" s="54"/>
      <c r="SZB60" s="54"/>
      <c r="SZC60" s="54"/>
      <c r="SZD60" s="54"/>
      <c r="SZE60" s="55"/>
      <c r="SZF60" s="55"/>
      <c r="SZG60" s="58"/>
      <c r="SZH60" s="58"/>
      <c r="SZI60" s="58"/>
      <c r="SZJ60" s="58"/>
      <c r="SZK60" s="58"/>
      <c r="SZL60" s="58"/>
      <c r="SZM60" s="58"/>
      <c r="SZN60" s="14"/>
      <c r="SZO60" s="14"/>
      <c r="SZP60" s="14"/>
      <c r="SZQ60" s="14"/>
      <c r="SZR60" s="54"/>
      <c r="SZS60" s="54"/>
      <c r="SZT60" s="54"/>
      <c r="SZU60" s="54"/>
      <c r="SZV60" s="55"/>
      <c r="SZW60" s="55"/>
      <c r="SZX60" s="58"/>
      <c r="SZY60" s="58"/>
      <c r="SZZ60" s="58"/>
      <c r="TAA60" s="58"/>
      <c r="TAB60" s="58"/>
      <c r="TAC60" s="58"/>
      <c r="TAD60" s="58"/>
      <c r="TAE60" s="14"/>
      <c r="TAF60" s="14"/>
      <c r="TAG60" s="14"/>
      <c r="TAH60" s="14"/>
      <c r="TAI60" s="54"/>
      <c r="TAJ60" s="54"/>
      <c r="TAK60" s="54"/>
      <c r="TAL60" s="54"/>
      <c r="TAM60" s="55"/>
      <c r="TAN60" s="55"/>
      <c r="TAO60" s="58"/>
      <c r="TAP60" s="58"/>
      <c r="TAQ60" s="58"/>
      <c r="TAR60" s="58"/>
      <c r="TAS60" s="58"/>
      <c r="TAT60" s="58"/>
      <c r="TAU60" s="58"/>
      <c r="TAV60" s="14"/>
      <c r="TAW60" s="14"/>
      <c r="TAX60" s="14"/>
      <c r="TAY60" s="14"/>
      <c r="TAZ60" s="54"/>
      <c r="TBA60" s="54"/>
      <c r="TBB60" s="54"/>
      <c r="TBC60" s="54"/>
      <c r="TBD60" s="55"/>
      <c r="TBE60" s="55"/>
      <c r="TBF60" s="58"/>
      <c r="TBG60" s="58"/>
      <c r="TBH60" s="58"/>
      <c r="TBI60" s="58"/>
      <c r="TBJ60" s="58"/>
      <c r="TBK60" s="58"/>
      <c r="TBL60" s="58"/>
      <c r="TBM60" s="14"/>
      <c r="TBN60" s="14"/>
      <c r="TBO60" s="14"/>
      <c r="TBP60" s="14"/>
      <c r="TBQ60" s="54"/>
      <c r="TBR60" s="54"/>
      <c r="TBS60" s="54"/>
      <c r="TBT60" s="54"/>
      <c r="TBU60" s="55"/>
      <c r="TBV60" s="55"/>
      <c r="TBW60" s="58"/>
      <c r="TBX60" s="58"/>
      <c r="TBY60" s="58"/>
      <c r="TBZ60" s="58"/>
      <c r="TCA60" s="58"/>
      <c r="TCB60" s="58"/>
      <c r="TCC60" s="58"/>
      <c r="TCD60" s="14"/>
      <c r="TCE60" s="14"/>
      <c r="TCF60" s="14"/>
      <c r="TCG60" s="14"/>
      <c r="TCH60" s="54"/>
      <c r="TCI60" s="54"/>
      <c r="TCJ60" s="54"/>
      <c r="TCK60" s="54"/>
      <c r="TCL60" s="55"/>
      <c r="TCM60" s="55"/>
      <c r="TCN60" s="58"/>
      <c r="TCO60" s="58"/>
      <c r="TCP60" s="58"/>
      <c r="TCQ60" s="58"/>
      <c r="TCR60" s="58"/>
      <c r="TCS60" s="58"/>
      <c r="TCT60" s="58"/>
      <c r="TCU60" s="14"/>
      <c r="TCV60" s="14"/>
      <c r="TCW60" s="14"/>
      <c r="TCX60" s="14"/>
      <c r="TCY60" s="54"/>
      <c r="TCZ60" s="54"/>
      <c r="TDA60" s="54"/>
      <c r="TDB60" s="54"/>
      <c r="TDC60" s="55"/>
      <c r="TDD60" s="55"/>
      <c r="TDE60" s="58"/>
      <c r="TDF60" s="58"/>
      <c r="TDG60" s="58"/>
      <c r="TDH60" s="58"/>
      <c r="TDI60" s="58"/>
      <c r="TDJ60" s="58"/>
      <c r="TDK60" s="58"/>
      <c r="TDL60" s="14"/>
      <c r="TDM60" s="14"/>
      <c r="TDN60" s="14"/>
      <c r="TDO60" s="14"/>
      <c r="TDP60" s="54"/>
      <c r="TDQ60" s="54"/>
      <c r="TDR60" s="54"/>
      <c r="TDS60" s="54"/>
      <c r="TDT60" s="55"/>
      <c r="TDU60" s="55"/>
      <c r="TDV60" s="58"/>
      <c r="TDW60" s="58"/>
      <c r="TDX60" s="58"/>
      <c r="TDY60" s="58"/>
      <c r="TDZ60" s="58"/>
      <c r="TEA60" s="58"/>
      <c r="TEB60" s="58"/>
      <c r="TEC60" s="14"/>
      <c r="TED60" s="14"/>
      <c r="TEE60" s="14"/>
      <c r="TEF60" s="14"/>
      <c r="TEG60" s="54"/>
      <c r="TEH60" s="54"/>
      <c r="TEI60" s="54"/>
      <c r="TEJ60" s="54"/>
      <c r="TEK60" s="55"/>
      <c r="TEL60" s="55"/>
      <c r="TEM60" s="58"/>
      <c r="TEN60" s="58"/>
      <c r="TEO60" s="58"/>
      <c r="TEP60" s="58"/>
      <c r="TEQ60" s="58"/>
      <c r="TER60" s="58"/>
      <c r="TES60" s="58"/>
      <c r="TET60" s="14"/>
      <c r="TEU60" s="14"/>
      <c r="TEV60" s="14"/>
      <c r="TEW60" s="14"/>
      <c r="TEX60" s="54"/>
      <c r="TEY60" s="54"/>
      <c r="TEZ60" s="54"/>
      <c r="TFA60" s="54"/>
      <c r="TFB60" s="55"/>
      <c r="TFC60" s="55"/>
      <c r="TFD60" s="58"/>
      <c r="TFE60" s="58"/>
      <c r="TFF60" s="58"/>
      <c r="TFG60" s="58"/>
      <c r="TFH60" s="58"/>
      <c r="TFI60" s="58"/>
      <c r="TFJ60" s="58"/>
      <c r="TFK60" s="14"/>
      <c r="TFL60" s="14"/>
      <c r="TFM60" s="14"/>
      <c r="TFN60" s="14"/>
      <c r="TFO60" s="54"/>
      <c r="TFP60" s="54"/>
      <c r="TFQ60" s="54"/>
      <c r="TFR60" s="54"/>
      <c r="TFS60" s="55"/>
      <c r="TFT60" s="55"/>
      <c r="TFU60" s="58"/>
      <c r="TFV60" s="58"/>
      <c r="TFW60" s="58"/>
      <c r="TFX60" s="58"/>
      <c r="TFY60" s="58"/>
      <c r="TFZ60" s="58"/>
      <c r="TGA60" s="58"/>
      <c r="TGB60" s="14"/>
      <c r="TGC60" s="14"/>
      <c r="TGD60" s="14"/>
      <c r="TGE60" s="14"/>
      <c r="TGF60" s="54"/>
      <c r="TGG60" s="54"/>
      <c r="TGH60" s="54"/>
      <c r="TGI60" s="54"/>
      <c r="TGJ60" s="55"/>
      <c r="TGK60" s="55"/>
      <c r="TGL60" s="58"/>
      <c r="TGM60" s="58"/>
      <c r="TGN60" s="58"/>
      <c r="TGO60" s="58"/>
      <c r="TGP60" s="58"/>
      <c r="TGQ60" s="58"/>
      <c r="TGR60" s="58"/>
      <c r="TGS60" s="14"/>
      <c r="TGT60" s="14"/>
      <c r="TGU60" s="14"/>
      <c r="TGV60" s="14"/>
      <c r="TGW60" s="54"/>
      <c r="TGX60" s="54"/>
      <c r="TGY60" s="54"/>
      <c r="TGZ60" s="54"/>
      <c r="THA60" s="55"/>
      <c r="THB60" s="55"/>
      <c r="THC60" s="58"/>
      <c r="THD60" s="58"/>
      <c r="THE60" s="58"/>
      <c r="THF60" s="58"/>
      <c r="THG60" s="58"/>
      <c r="THH60" s="58"/>
      <c r="THI60" s="58"/>
      <c r="THJ60" s="14"/>
      <c r="THK60" s="14"/>
      <c r="THL60" s="14"/>
      <c r="THM60" s="14"/>
      <c r="THN60" s="54"/>
      <c r="THO60" s="54"/>
      <c r="THP60" s="54"/>
      <c r="THQ60" s="54"/>
      <c r="THR60" s="55"/>
      <c r="THS60" s="55"/>
      <c r="THT60" s="58"/>
      <c r="THU60" s="58"/>
      <c r="THV60" s="58"/>
      <c r="THW60" s="58"/>
      <c r="THX60" s="58"/>
      <c r="THY60" s="58"/>
      <c r="THZ60" s="58"/>
      <c r="TIA60" s="14"/>
      <c r="TIB60" s="14"/>
      <c r="TIC60" s="14"/>
      <c r="TID60" s="14"/>
      <c r="TIE60" s="54"/>
      <c r="TIF60" s="54"/>
      <c r="TIG60" s="54"/>
      <c r="TIH60" s="54"/>
      <c r="TII60" s="55"/>
      <c r="TIJ60" s="55"/>
      <c r="TIK60" s="58"/>
      <c r="TIL60" s="58"/>
      <c r="TIM60" s="58"/>
      <c r="TIN60" s="58"/>
      <c r="TIO60" s="58"/>
      <c r="TIP60" s="58"/>
      <c r="TIQ60" s="58"/>
      <c r="TIR60" s="14"/>
      <c r="TIS60" s="14"/>
      <c r="TIT60" s="14"/>
      <c r="TIU60" s="14"/>
      <c r="TIV60" s="54"/>
      <c r="TIW60" s="54"/>
      <c r="TIX60" s="54"/>
      <c r="TIY60" s="54"/>
      <c r="TIZ60" s="55"/>
      <c r="TJA60" s="55"/>
      <c r="TJB60" s="58"/>
      <c r="TJC60" s="58"/>
      <c r="TJD60" s="58"/>
      <c r="TJE60" s="58"/>
      <c r="TJF60" s="58"/>
      <c r="TJG60" s="58"/>
      <c r="TJH60" s="58"/>
      <c r="TJI60" s="14"/>
      <c r="TJJ60" s="14"/>
      <c r="TJK60" s="14"/>
      <c r="TJL60" s="14"/>
      <c r="TJM60" s="54"/>
      <c r="TJN60" s="54"/>
      <c r="TJO60" s="54"/>
      <c r="TJP60" s="54"/>
      <c r="TJQ60" s="55"/>
      <c r="TJR60" s="55"/>
      <c r="TJS60" s="58"/>
      <c r="TJT60" s="58"/>
      <c r="TJU60" s="58"/>
      <c r="TJV60" s="58"/>
      <c r="TJW60" s="58"/>
      <c r="TJX60" s="58"/>
      <c r="TJY60" s="58"/>
      <c r="TJZ60" s="14"/>
      <c r="TKA60" s="14"/>
      <c r="TKB60" s="14"/>
      <c r="TKC60" s="14"/>
      <c r="TKD60" s="54"/>
      <c r="TKE60" s="54"/>
      <c r="TKF60" s="54"/>
      <c r="TKG60" s="54"/>
      <c r="TKH60" s="55"/>
      <c r="TKI60" s="55"/>
      <c r="TKJ60" s="58"/>
      <c r="TKK60" s="58"/>
      <c r="TKL60" s="58"/>
      <c r="TKM60" s="58"/>
      <c r="TKN60" s="58"/>
      <c r="TKO60" s="58"/>
      <c r="TKP60" s="58"/>
      <c r="TKQ60" s="14"/>
      <c r="TKR60" s="14"/>
      <c r="TKS60" s="14"/>
      <c r="TKT60" s="14"/>
      <c r="TKU60" s="54"/>
      <c r="TKV60" s="54"/>
      <c r="TKW60" s="54"/>
      <c r="TKX60" s="54"/>
      <c r="TKY60" s="55"/>
      <c r="TKZ60" s="55"/>
      <c r="TLA60" s="58"/>
      <c r="TLB60" s="58"/>
      <c r="TLC60" s="58"/>
      <c r="TLD60" s="58"/>
      <c r="TLE60" s="58"/>
      <c r="TLF60" s="58"/>
      <c r="TLG60" s="58"/>
      <c r="TLH60" s="14"/>
      <c r="TLI60" s="14"/>
      <c r="TLJ60" s="14"/>
      <c r="TLK60" s="14"/>
      <c r="TLL60" s="54"/>
      <c r="TLM60" s="54"/>
      <c r="TLN60" s="54"/>
      <c r="TLO60" s="54"/>
      <c r="TLP60" s="55"/>
      <c r="TLQ60" s="55"/>
      <c r="TLR60" s="58"/>
      <c r="TLS60" s="58"/>
      <c r="TLT60" s="58"/>
      <c r="TLU60" s="58"/>
      <c r="TLV60" s="58"/>
      <c r="TLW60" s="58"/>
      <c r="TLX60" s="58"/>
      <c r="TLY60" s="14"/>
      <c r="TLZ60" s="14"/>
      <c r="TMA60" s="14"/>
      <c r="TMB60" s="14"/>
      <c r="TMC60" s="54"/>
      <c r="TMD60" s="54"/>
      <c r="TME60" s="54"/>
      <c r="TMF60" s="54"/>
      <c r="TMG60" s="55"/>
      <c r="TMH60" s="55"/>
      <c r="TMI60" s="58"/>
      <c r="TMJ60" s="58"/>
      <c r="TMK60" s="58"/>
      <c r="TML60" s="58"/>
      <c r="TMM60" s="58"/>
      <c r="TMN60" s="58"/>
      <c r="TMO60" s="58"/>
      <c r="TMP60" s="14"/>
      <c r="TMQ60" s="14"/>
      <c r="TMR60" s="14"/>
      <c r="TMS60" s="14"/>
      <c r="TMT60" s="54"/>
      <c r="TMU60" s="54"/>
      <c r="TMV60" s="54"/>
      <c r="TMW60" s="54"/>
      <c r="TMX60" s="55"/>
      <c r="TMY60" s="55"/>
      <c r="TMZ60" s="58"/>
      <c r="TNA60" s="58"/>
      <c r="TNB60" s="58"/>
      <c r="TNC60" s="58"/>
      <c r="TND60" s="58"/>
      <c r="TNE60" s="58"/>
      <c r="TNF60" s="58"/>
      <c r="TNG60" s="14"/>
      <c r="TNH60" s="14"/>
      <c r="TNI60" s="14"/>
      <c r="TNJ60" s="14"/>
      <c r="TNK60" s="54"/>
      <c r="TNL60" s="54"/>
      <c r="TNM60" s="54"/>
      <c r="TNN60" s="54"/>
      <c r="TNO60" s="55"/>
      <c r="TNP60" s="55"/>
      <c r="TNQ60" s="58"/>
      <c r="TNR60" s="58"/>
      <c r="TNS60" s="58"/>
      <c r="TNT60" s="58"/>
      <c r="TNU60" s="58"/>
      <c r="TNV60" s="58"/>
      <c r="TNW60" s="58"/>
      <c r="TNX60" s="14"/>
      <c r="TNY60" s="14"/>
      <c r="TNZ60" s="14"/>
      <c r="TOA60" s="14"/>
      <c r="TOB60" s="54"/>
      <c r="TOC60" s="54"/>
      <c r="TOD60" s="54"/>
      <c r="TOE60" s="54"/>
      <c r="TOF60" s="55"/>
      <c r="TOG60" s="55"/>
      <c r="TOH60" s="58"/>
      <c r="TOI60" s="58"/>
      <c r="TOJ60" s="58"/>
      <c r="TOK60" s="58"/>
      <c r="TOL60" s="58"/>
      <c r="TOM60" s="58"/>
      <c r="TON60" s="58"/>
      <c r="TOO60" s="14"/>
      <c r="TOP60" s="14"/>
      <c r="TOQ60" s="14"/>
      <c r="TOR60" s="14"/>
      <c r="TOS60" s="54"/>
      <c r="TOT60" s="54"/>
      <c r="TOU60" s="54"/>
      <c r="TOV60" s="54"/>
      <c r="TOW60" s="55"/>
      <c r="TOX60" s="55"/>
      <c r="TOY60" s="58"/>
      <c r="TOZ60" s="58"/>
      <c r="TPA60" s="58"/>
      <c r="TPB60" s="58"/>
      <c r="TPC60" s="58"/>
      <c r="TPD60" s="58"/>
      <c r="TPE60" s="58"/>
      <c r="TPF60" s="14"/>
      <c r="TPG60" s="14"/>
      <c r="TPH60" s="14"/>
      <c r="TPI60" s="14"/>
      <c r="TPJ60" s="54"/>
      <c r="TPK60" s="54"/>
      <c r="TPL60" s="54"/>
      <c r="TPM60" s="54"/>
      <c r="TPN60" s="55"/>
      <c r="TPO60" s="55"/>
      <c r="TPP60" s="58"/>
      <c r="TPQ60" s="58"/>
      <c r="TPR60" s="58"/>
      <c r="TPS60" s="58"/>
      <c r="TPT60" s="58"/>
      <c r="TPU60" s="58"/>
      <c r="TPV60" s="58"/>
      <c r="TPW60" s="14"/>
      <c r="TPX60" s="14"/>
      <c r="TPY60" s="14"/>
      <c r="TPZ60" s="14"/>
      <c r="TQA60" s="54"/>
      <c r="TQB60" s="54"/>
      <c r="TQC60" s="54"/>
      <c r="TQD60" s="54"/>
      <c r="TQE60" s="55"/>
      <c r="TQF60" s="55"/>
      <c r="TQG60" s="58"/>
      <c r="TQH60" s="58"/>
      <c r="TQI60" s="58"/>
      <c r="TQJ60" s="58"/>
      <c r="TQK60" s="58"/>
      <c r="TQL60" s="58"/>
      <c r="TQM60" s="58"/>
      <c r="TQN60" s="14"/>
      <c r="TQO60" s="14"/>
      <c r="TQP60" s="14"/>
      <c r="TQQ60" s="14"/>
      <c r="TQR60" s="54"/>
      <c r="TQS60" s="54"/>
      <c r="TQT60" s="54"/>
      <c r="TQU60" s="54"/>
      <c r="TQV60" s="55"/>
      <c r="TQW60" s="55"/>
      <c r="TQX60" s="58"/>
      <c r="TQY60" s="58"/>
      <c r="TQZ60" s="58"/>
      <c r="TRA60" s="58"/>
      <c r="TRB60" s="58"/>
      <c r="TRC60" s="58"/>
      <c r="TRD60" s="58"/>
      <c r="TRE60" s="14"/>
      <c r="TRF60" s="14"/>
      <c r="TRG60" s="14"/>
      <c r="TRH60" s="14"/>
      <c r="TRI60" s="54"/>
      <c r="TRJ60" s="54"/>
      <c r="TRK60" s="54"/>
      <c r="TRL60" s="54"/>
      <c r="TRM60" s="55"/>
      <c r="TRN60" s="55"/>
      <c r="TRO60" s="58"/>
      <c r="TRP60" s="58"/>
      <c r="TRQ60" s="58"/>
      <c r="TRR60" s="58"/>
      <c r="TRS60" s="58"/>
      <c r="TRT60" s="58"/>
      <c r="TRU60" s="58"/>
      <c r="TRV60" s="14"/>
      <c r="TRW60" s="14"/>
      <c r="TRX60" s="14"/>
      <c r="TRY60" s="14"/>
      <c r="TRZ60" s="54"/>
      <c r="TSA60" s="54"/>
      <c r="TSB60" s="54"/>
      <c r="TSC60" s="54"/>
      <c r="TSD60" s="55"/>
      <c r="TSE60" s="55"/>
      <c r="TSF60" s="58"/>
      <c r="TSG60" s="58"/>
      <c r="TSH60" s="58"/>
      <c r="TSI60" s="58"/>
      <c r="TSJ60" s="58"/>
      <c r="TSK60" s="58"/>
      <c r="TSL60" s="58"/>
      <c r="TSM60" s="14"/>
      <c r="TSN60" s="14"/>
      <c r="TSO60" s="14"/>
      <c r="TSP60" s="14"/>
      <c r="TSQ60" s="54"/>
      <c r="TSR60" s="54"/>
      <c r="TSS60" s="54"/>
      <c r="TST60" s="54"/>
      <c r="TSU60" s="55"/>
      <c r="TSV60" s="55"/>
      <c r="TSW60" s="58"/>
      <c r="TSX60" s="58"/>
      <c r="TSY60" s="58"/>
      <c r="TSZ60" s="58"/>
      <c r="TTA60" s="58"/>
      <c r="TTB60" s="58"/>
      <c r="TTC60" s="58"/>
      <c r="TTD60" s="14"/>
      <c r="TTE60" s="14"/>
      <c r="TTF60" s="14"/>
      <c r="TTG60" s="14"/>
      <c r="TTH60" s="54"/>
      <c r="TTI60" s="54"/>
      <c r="TTJ60" s="54"/>
      <c r="TTK60" s="54"/>
      <c r="TTL60" s="55"/>
      <c r="TTM60" s="55"/>
      <c r="TTN60" s="58"/>
      <c r="TTO60" s="58"/>
      <c r="TTP60" s="58"/>
      <c r="TTQ60" s="58"/>
      <c r="TTR60" s="58"/>
      <c r="TTS60" s="58"/>
      <c r="TTT60" s="58"/>
      <c r="TTU60" s="14"/>
      <c r="TTV60" s="14"/>
      <c r="TTW60" s="14"/>
      <c r="TTX60" s="14"/>
      <c r="TTY60" s="54"/>
      <c r="TTZ60" s="54"/>
      <c r="TUA60" s="54"/>
      <c r="TUB60" s="54"/>
      <c r="TUC60" s="55"/>
      <c r="TUD60" s="55"/>
      <c r="TUE60" s="58"/>
      <c r="TUF60" s="58"/>
      <c r="TUG60" s="58"/>
      <c r="TUH60" s="58"/>
      <c r="TUI60" s="58"/>
      <c r="TUJ60" s="58"/>
      <c r="TUK60" s="58"/>
      <c r="TUL60" s="14"/>
      <c r="TUM60" s="14"/>
      <c r="TUN60" s="14"/>
      <c r="TUO60" s="14"/>
      <c r="TUP60" s="54"/>
      <c r="TUQ60" s="54"/>
      <c r="TUR60" s="54"/>
      <c r="TUS60" s="54"/>
      <c r="TUT60" s="55"/>
      <c r="TUU60" s="55"/>
      <c r="TUV60" s="58"/>
      <c r="TUW60" s="58"/>
      <c r="TUX60" s="58"/>
      <c r="TUY60" s="58"/>
      <c r="TUZ60" s="58"/>
      <c r="TVA60" s="58"/>
      <c r="TVB60" s="58"/>
      <c r="TVC60" s="14"/>
      <c r="TVD60" s="14"/>
      <c r="TVE60" s="14"/>
      <c r="TVF60" s="14"/>
      <c r="TVG60" s="54"/>
      <c r="TVH60" s="54"/>
      <c r="TVI60" s="54"/>
      <c r="TVJ60" s="54"/>
      <c r="TVK60" s="55"/>
      <c r="TVL60" s="55"/>
      <c r="TVM60" s="58"/>
      <c r="TVN60" s="58"/>
      <c r="TVO60" s="58"/>
      <c r="TVP60" s="58"/>
      <c r="TVQ60" s="58"/>
      <c r="TVR60" s="58"/>
      <c r="TVS60" s="58"/>
      <c r="TVT60" s="14"/>
      <c r="TVU60" s="14"/>
      <c r="TVV60" s="14"/>
      <c r="TVW60" s="14"/>
      <c r="TVX60" s="54"/>
      <c r="TVY60" s="54"/>
      <c r="TVZ60" s="54"/>
      <c r="TWA60" s="54"/>
      <c r="TWB60" s="55"/>
      <c r="TWC60" s="55"/>
      <c r="TWD60" s="58"/>
      <c r="TWE60" s="58"/>
      <c r="TWF60" s="58"/>
      <c r="TWG60" s="58"/>
      <c r="TWH60" s="58"/>
      <c r="TWI60" s="58"/>
      <c r="TWJ60" s="58"/>
      <c r="TWK60" s="14"/>
      <c r="TWL60" s="14"/>
      <c r="TWM60" s="14"/>
      <c r="TWN60" s="14"/>
      <c r="TWO60" s="54"/>
      <c r="TWP60" s="54"/>
      <c r="TWQ60" s="54"/>
      <c r="TWR60" s="54"/>
      <c r="TWS60" s="55"/>
      <c r="TWT60" s="55"/>
      <c r="TWU60" s="58"/>
      <c r="TWV60" s="58"/>
      <c r="TWW60" s="58"/>
      <c r="TWX60" s="58"/>
      <c r="TWY60" s="58"/>
      <c r="TWZ60" s="58"/>
      <c r="TXA60" s="58"/>
      <c r="TXB60" s="14"/>
      <c r="TXC60" s="14"/>
      <c r="TXD60" s="14"/>
      <c r="TXE60" s="14"/>
      <c r="TXF60" s="54"/>
      <c r="TXG60" s="54"/>
      <c r="TXH60" s="54"/>
      <c r="TXI60" s="54"/>
      <c r="TXJ60" s="55"/>
      <c r="TXK60" s="55"/>
      <c r="TXL60" s="58"/>
      <c r="TXM60" s="58"/>
      <c r="TXN60" s="58"/>
      <c r="TXO60" s="58"/>
      <c r="TXP60" s="58"/>
      <c r="TXQ60" s="58"/>
      <c r="TXR60" s="58"/>
      <c r="TXS60" s="14"/>
      <c r="TXT60" s="14"/>
      <c r="TXU60" s="14"/>
      <c r="TXV60" s="14"/>
      <c r="TXW60" s="54"/>
      <c r="TXX60" s="54"/>
      <c r="TXY60" s="54"/>
      <c r="TXZ60" s="54"/>
      <c r="TYA60" s="55"/>
      <c r="TYB60" s="55"/>
      <c r="TYC60" s="58"/>
      <c r="TYD60" s="58"/>
      <c r="TYE60" s="58"/>
      <c r="TYF60" s="58"/>
      <c r="TYG60" s="58"/>
      <c r="TYH60" s="58"/>
      <c r="TYI60" s="58"/>
      <c r="TYJ60" s="14"/>
      <c r="TYK60" s="14"/>
      <c r="TYL60" s="14"/>
      <c r="TYM60" s="14"/>
      <c r="TYN60" s="54"/>
      <c r="TYO60" s="54"/>
      <c r="TYP60" s="54"/>
      <c r="TYQ60" s="54"/>
      <c r="TYR60" s="55"/>
      <c r="TYS60" s="55"/>
      <c r="TYT60" s="58"/>
      <c r="TYU60" s="58"/>
      <c r="TYV60" s="58"/>
      <c r="TYW60" s="58"/>
      <c r="TYX60" s="58"/>
      <c r="TYY60" s="58"/>
      <c r="TYZ60" s="58"/>
      <c r="TZA60" s="14"/>
      <c r="TZB60" s="14"/>
      <c r="TZC60" s="14"/>
      <c r="TZD60" s="14"/>
      <c r="TZE60" s="54"/>
      <c r="TZF60" s="54"/>
      <c r="TZG60" s="54"/>
      <c r="TZH60" s="54"/>
      <c r="TZI60" s="55"/>
      <c r="TZJ60" s="55"/>
      <c r="TZK60" s="58"/>
      <c r="TZL60" s="58"/>
      <c r="TZM60" s="58"/>
      <c r="TZN60" s="58"/>
      <c r="TZO60" s="58"/>
      <c r="TZP60" s="58"/>
      <c r="TZQ60" s="58"/>
      <c r="TZR60" s="14"/>
      <c r="TZS60" s="14"/>
      <c r="TZT60" s="14"/>
      <c r="TZU60" s="14"/>
      <c r="TZV60" s="54"/>
      <c r="TZW60" s="54"/>
      <c r="TZX60" s="54"/>
      <c r="TZY60" s="54"/>
      <c r="TZZ60" s="55"/>
      <c r="UAA60" s="55"/>
      <c r="UAB60" s="58"/>
      <c r="UAC60" s="58"/>
      <c r="UAD60" s="58"/>
      <c r="UAE60" s="58"/>
      <c r="UAF60" s="58"/>
      <c r="UAG60" s="58"/>
      <c r="UAH60" s="58"/>
      <c r="UAI60" s="14"/>
      <c r="UAJ60" s="14"/>
      <c r="UAK60" s="14"/>
      <c r="UAL60" s="14"/>
      <c r="UAM60" s="54"/>
      <c r="UAN60" s="54"/>
      <c r="UAO60" s="54"/>
      <c r="UAP60" s="54"/>
      <c r="UAQ60" s="55"/>
      <c r="UAR60" s="55"/>
      <c r="UAS60" s="58"/>
      <c r="UAT60" s="58"/>
      <c r="UAU60" s="58"/>
      <c r="UAV60" s="58"/>
      <c r="UAW60" s="58"/>
      <c r="UAX60" s="58"/>
      <c r="UAY60" s="58"/>
      <c r="UAZ60" s="14"/>
      <c r="UBA60" s="14"/>
      <c r="UBB60" s="14"/>
      <c r="UBC60" s="14"/>
      <c r="UBD60" s="54"/>
      <c r="UBE60" s="54"/>
      <c r="UBF60" s="54"/>
      <c r="UBG60" s="54"/>
      <c r="UBH60" s="55"/>
      <c r="UBI60" s="55"/>
      <c r="UBJ60" s="58"/>
      <c r="UBK60" s="58"/>
      <c r="UBL60" s="58"/>
      <c r="UBM60" s="58"/>
      <c r="UBN60" s="58"/>
      <c r="UBO60" s="58"/>
      <c r="UBP60" s="58"/>
      <c r="UBQ60" s="14"/>
      <c r="UBR60" s="14"/>
      <c r="UBS60" s="14"/>
      <c r="UBT60" s="14"/>
      <c r="UBU60" s="54"/>
      <c r="UBV60" s="54"/>
      <c r="UBW60" s="54"/>
      <c r="UBX60" s="54"/>
      <c r="UBY60" s="55"/>
      <c r="UBZ60" s="55"/>
      <c r="UCA60" s="58"/>
      <c r="UCB60" s="58"/>
      <c r="UCC60" s="58"/>
      <c r="UCD60" s="58"/>
      <c r="UCE60" s="58"/>
      <c r="UCF60" s="58"/>
      <c r="UCG60" s="58"/>
      <c r="UCH60" s="14"/>
      <c r="UCI60" s="14"/>
      <c r="UCJ60" s="14"/>
      <c r="UCK60" s="14"/>
      <c r="UCL60" s="54"/>
      <c r="UCM60" s="54"/>
      <c r="UCN60" s="54"/>
      <c r="UCO60" s="54"/>
      <c r="UCP60" s="55"/>
      <c r="UCQ60" s="55"/>
      <c r="UCR60" s="58"/>
      <c r="UCS60" s="58"/>
      <c r="UCT60" s="58"/>
      <c r="UCU60" s="58"/>
      <c r="UCV60" s="58"/>
      <c r="UCW60" s="58"/>
      <c r="UCX60" s="58"/>
      <c r="UCY60" s="14"/>
      <c r="UCZ60" s="14"/>
      <c r="UDA60" s="14"/>
      <c r="UDB60" s="14"/>
      <c r="UDC60" s="54"/>
      <c r="UDD60" s="54"/>
      <c r="UDE60" s="54"/>
      <c r="UDF60" s="54"/>
      <c r="UDG60" s="55"/>
      <c r="UDH60" s="55"/>
      <c r="UDI60" s="58"/>
      <c r="UDJ60" s="58"/>
      <c r="UDK60" s="58"/>
      <c r="UDL60" s="58"/>
      <c r="UDM60" s="58"/>
      <c r="UDN60" s="58"/>
      <c r="UDO60" s="58"/>
      <c r="UDP60" s="14"/>
      <c r="UDQ60" s="14"/>
      <c r="UDR60" s="14"/>
      <c r="UDS60" s="14"/>
      <c r="UDT60" s="54"/>
      <c r="UDU60" s="54"/>
      <c r="UDV60" s="54"/>
      <c r="UDW60" s="54"/>
      <c r="UDX60" s="55"/>
      <c r="UDY60" s="55"/>
      <c r="UDZ60" s="58"/>
      <c r="UEA60" s="58"/>
      <c r="UEB60" s="58"/>
      <c r="UEC60" s="58"/>
      <c r="UED60" s="58"/>
      <c r="UEE60" s="58"/>
      <c r="UEF60" s="58"/>
      <c r="UEG60" s="14"/>
      <c r="UEH60" s="14"/>
      <c r="UEI60" s="14"/>
      <c r="UEJ60" s="14"/>
      <c r="UEK60" s="54"/>
      <c r="UEL60" s="54"/>
      <c r="UEM60" s="54"/>
      <c r="UEN60" s="54"/>
      <c r="UEO60" s="55"/>
      <c r="UEP60" s="55"/>
      <c r="UEQ60" s="58"/>
      <c r="UER60" s="58"/>
      <c r="UES60" s="58"/>
      <c r="UET60" s="58"/>
      <c r="UEU60" s="58"/>
      <c r="UEV60" s="58"/>
      <c r="UEW60" s="58"/>
      <c r="UEX60" s="14"/>
      <c r="UEY60" s="14"/>
      <c r="UEZ60" s="14"/>
      <c r="UFA60" s="14"/>
      <c r="UFB60" s="54"/>
      <c r="UFC60" s="54"/>
      <c r="UFD60" s="54"/>
      <c r="UFE60" s="54"/>
      <c r="UFF60" s="55"/>
      <c r="UFG60" s="55"/>
      <c r="UFH60" s="58"/>
      <c r="UFI60" s="58"/>
      <c r="UFJ60" s="58"/>
      <c r="UFK60" s="58"/>
      <c r="UFL60" s="58"/>
      <c r="UFM60" s="58"/>
      <c r="UFN60" s="58"/>
      <c r="UFO60" s="14"/>
      <c r="UFP60" s="14"/>
      <c r="UFQ60" s="14"/>
      <c r="UFR60" s="14"/>
      <c r="UFS60" s="54"/>
      <c r="UFT60" s="54"/>
      <c r="UFU60" s="54"/>
      <c r="UFV60" s="54"/>
      <c r="UFW60" s="55"/>
      <c r="UFX60" s="55"/>
      <c r="UFY60" s="58"/>
      <c r="UFZ60" s="58"/>
      <c r="UGA60" s="58"/>
      <c r="UGB60" s="58"/>
      <c r="UGC60" s="58"/>
      <c r="UGD60" s="58"/>
      <c r="UGE60" s="58"/>
      <c r="UGF60" s="14"/>
      <c r="UGG60" s="14"/>
      <c r="UGH60" s="14"/>
      <c r="UGI60" s="14"/>
      <c r="UGJ60" s="54"/>
      <c r="UGK60" s="54"/>
      <c r="UGL60" s="54"/>
      <c r="UGM60" s="54"/>
      <c r="UGN60" s="55"/>
      <c r="UGO60" s="55"/>
      <c r="UGP60" s="58"/>
      <c r="UGQ60" s="58"/>
      <c r="UGR60" s="58"/>
      <c r="UGS60" s="58"/>
      <c r="UGT60" s="58"/>
      <c r="UGU60" s="58"/>
      <c r="UGV60" s="58"/>
      <c r="UGW60" s="14"/>
      <c r="UGX60" s="14"/>
      <c r="UGY60" s="14"/>
      <c r="UGZ60" s="14"/>
      <c r="UHA60" s="54"/>
      <c r="UHB60" s="54"/>
      <c r="UHC60" s="54"/>
      <c r="UHD60" s="54"/>
      <c r="UHE60" s="55"/>
      <c r="UHF60" s="55"/>
      <c r="UHG60" s="58"/>
      <c r="UHH60" s="58"/>
      <c r="UHI60" s="58"/>
      <c r="UHJ60" s="58"/>
      <c r="UHK60" s="58"/>
      <c r="UHL60" s="58"/>
      <c r="UHM60" s="58"/>
      <c r="UHN60" s="14"/>
      <c r="UHO60" s="14"/>
      <c r="UHP60" s="14"/>
      <c r="UHQ60" s="14"/>
      <c r="UHR60" s="54"/>
      <c r="UHS60" s="54"/>
      <c r="UHT60" s="54"/>
      <c r="UHU60" s="54"/>
      <c r="UHV60" s="55"/>
      <c r="UHW60" s="55"/>
      <c r="UHX60" s="58"/>
      <c r="UHY60" s="58"/>
      <c r="UHZ60" s="58"/>
      <c r="UIA60" s="58"/>
      <c r="UIB60" s="58"/>
      <c r="UIC60" s="58"/>
      <c r="UID60" s="58"/>
      <c r="UIE60" s="14"/>
      <c r="UIF60" s="14"/>
      <c r="UIG60" s="14"/>
      <c r="UIH60" s="14"/>
      <c r="UII60" s="54"/>
      <c r="UIJ60" s="54"/>
      <c r="UIK60" s="54"/>
      <c r="UIL60" s="54"/>
      <c r="UIM60" s="55"/>
      <c r="UIN60" s="55"/>
      <c r="UIO60" s="58"/>
      <c r="UIP60" s="58"/>
      <c r="UIQ60" s="58"/>
      <c r="UIR60" s="58"/>
      <c r="UIS60" s="58"/>
      <c r="UIT60" s="58"/>
      <c r="UIU60" s="58"/>
      <c r="UIV60" s="14"/>
      <c r="UIW60" s="14"/>
      <c r="UIX60" s="14"/>
      <c r="UIY60" s="14"/>
      <c r="UIZ60" s="54"/>
      <c r="UJA60" s="54"/>
      <c r="UJB60" s="54"/>
      <c r="UJC60" s="54"/>
      <c r="UJD60" s="55"/>
      <c r="UJE60" s="55"/>
      <c r="UJF60" s="58"/>
      <c r="UJG60" s="58"/>
      <c r="UJH60" s="58"/>
      <c r="UJI60" s="58"/>
      <c r="UJJ60" s="58"/>
      <c r="UJK60" s="58"/>
      <c r="UJL60" s="58"/>
      <c r="UJM60" s="14"/>
      <c r="UJN60" s="14"/>
      <c r="UJO60" s="14"/>
      <c r="UJP60" s="14"/>
      <c r="UJQ60" s="54"/>
      <c r="UJR60" s="54"/>
      <c r="UJS60" s="54"/>
      <c r="UJT60" s="54"/>
      <c r="UJU60" s="55"/>
      <c r="UJV60" s="55"/>
      <c r="UJW60" s="58"/>
      <c r="UJX60" s="58"/>
      <c r="UJY60" s="58"/>
      <c r="UJZ60" s="58"/>
      <c r="UKA60" s="58"/>
      <c r="UKB60" s="58"/>
      <c r="UKC60" s="58"/>
      <c r="UKD60" s="14"/>
      <c r="UKE60" s="14"/>
      <c r="UKF60" s="14"/>
      <c r="UKG60" s="14"/>
      <c r="UKH60" s="54"/>
      <c r="UKI60" s="54"/>
      <c r="UKJ60" s="54"/>
      <c r="UKK60" s="54"/>
      <c r="UKL60" s="55"/>
      <c r="UKM60" s="55"/>
      <c r="UKN60" s="58"/>
      <c r="UKO60" s="58"/>
      <c r="UKP60" s="58"/>
      <c r="UKQ60" s="58"/>
      <c r="UKR60" s="58"/>
      <c r="UKS60" s="58"/>
      <c r="UKT60" s="58"/>
      <c r="UKU60" s="14"/>
      <c r="UKV60" s="14"/>
      <c r="UKW60" s="14"/>
      <c r="UKX60" s="14"/>
      <c r="UKY60" s="54"/>
      <c r="UKZ60" s="54"/>
      <c r="ULA60" s="54"/>
      <c r="ULB60" s="54"/>
      <c r="ULC60" s="55"/>
      <c r="ULD60" s="55"/>
      <c r="ULE60" s="58"/>
      <c r="ULF60" s="58"/>
      <c r="ULG60" s="58"/>
      <c r="ULH60" s="58"/>
      <c r="ULI60" s="58"/>
      <c r="ULJ60" s="58"/>
      <c r="ULK60" s="58"/>
      <c r="ULL60" s="14"/>
      <c r="ULM60" s="14"/>
      <c r="ULN60" s="14"/>
      <c r="ULO60" s="14"/>
      <c r="ULP60" s="54"/>
      <c r="ULQ60" s="54"/>
      <c r="ULR60" s="54"/>
      <c r="ULS60" s="54"/>
      <c r="ULT60" s="55"/>
      <c r="ULU60" s="55"/>
      <c r="ULV60" s="58"/>
      <c r="ULW60" s="58"/>
      <c r="ULX60" s="58"/>
      <c r="ULY60" s="58"/>
      <c r="ULZ60" s="58"/>
      <c r="UMA60" s="58"/>
      <c r="UMB60" s="58"/>
      <c r="UMC60" s="14"/>
      <c r="UMD60" s="14"/>
      <c r="UME60" s="14"/>
      <c r="UMF60" s="14"/>
      <c r="UMG60" s="54"/>
      <c r="UMH60" s="54"/>
      <c r="UMI60" s="54"/>
      <c r="UMJ60" s="54"/>
      <c r="UMK60" s="55"/>
      <c r="UML60" s="55"/>
      <c r="UMM60" s="58"/>
      <c r="UMN60" s="58"/>
      <c r="UMO60" s="58"/>
      <c r="UMP60" s="58"/>
      <c r="UMQ60" s="58"/>
      <c r="UMR60" s="58"/>
      <c r="UMS60" s="58"/>
      <c r="UMT60" s="14"/>
      <c r="UMU60" s="14"/>
      <c r="UMV60" s="14"/>
      <c r="UMW60" s="14"/>
      <c r="UMX60" s="54"/>
      <c r="UMY60" s="54"/>
      <c r="UMZ60" s="54"/>
      <c r="UNA60" s="54"/>
      <c r="UNB60" s="55"/>
      <c r="UNC60" s="55"/>
      <c r="UND60" s="58"/>
      <c r="UNE60" s="58"/>
      <c r="UNF60" s="58"/>
      <c r="UNG60" s="58"/>
      <c r="UNH60" s="58"/>
      <c r="UNI60" s="58"/>
      <c r="UNJ60" s="58"/>
      <c r="UNK60" s="14"/>
      <c r="UNL60" s="14"/>
      <c r="UNM60" s="14"/>
      <c r="UNN60" s="14"/>
      <c r="UNO60" s="54"/>
      <c r="UNP60" s="54"/>
      <c r="UNQ60" s="54"/>
      <c r="UNR60" s="54"/>
      <c r="UNS60" s="55"/>
      <c r="UNT60" s="55"/>
      <c r="UNU60" s="58"/>
      <c r="UNV60" s="58"/>
      <c r="UNW60" s="58"/>
      <c r="UNX60" s="58"/>
      <c r="UNY60" s="58"/>
      <c r="UNZ60" s="58"/>
      <c r="UOA60" s="58"/>
      <c r="UOB60" s="14"/>
      <c r="UOC60" s="14"/>
      <c r="UOD60" s="14"/>
      <c r="UOE60" s="14"/>
      <c r="UOF60" s="54"/>
      <c r="UOG60" s="54"/>
      <c r="UOH60" s="54"/>
      <c r="UOI60" s="54"/>
      <c r="UOJ60" s="55"/>
      <c r="UOK60" s="55"/>
      <c r="UOL60" s="58"/>
      <c r="UOM60" s="58"/>
      <c r="UON60" s="58"/>
      <c r="UOO60" s="58"/>
      <c r="UOP60" s="58"/>
      <c r="UOQ60" s="58"/>
      <c r="UOR60" s="58"/>
      <c r="UOS60" s="14"/>
      <c r="UOT60" s="14"/>
      <c r="UOU60" s="14"/>
      <c r="UOV60" s="14"/>
      <c r="UOW60" s="54"/>
      <c r="UOX60" s="54"/>
      <c r="UOY60" s="54"/>
      <c r="UOZ60" s="54"/>
      <c r="UPA60" s="55"/>
      <c r="UPB60" s="55"/>
      <c r="UPC60" s="58"/>
      <c r="UPD60" s="58"/>
      <c r="UPE60" s="58"/>
      <c r="UPF60" s="58"/>
      <c r="UPG60" s="58"/>
      <c r="UPH60" s="58"/>
      <c r="UPI60" s="58"/>
      <c r="UPJ60" s="14"/>
      <c r="UPK60" s="14"/>
      <c r="UPL60" s="14"/>
      <c r="UPM60" s="14"/>
      <c r="UPN60" s="54"/>
      <c r="UPO60" s="54"/>
      <c r="UPP60" s="54"/>
      <c r="UPQ60" s="54"/>
      <c r="UPR60" s="55"/>
      <c r="UPS60" s="55"/>
      <c r="UPT60" s="58"/>
      <c r="UPU60" s="58"/>
      <c r="UPV60" s="58"/>
      <c r="UPW60" s="58"/>
      <c r="UPX60" s="58"/>
      <c r="UPY60" s="58"/>
      <c r="UPZ60" s="58"/>
      <c r="UQA60" s="14"/>
      <c r="UQB60" s="14"/>
      <c r="UQC60" s="14"/>
      <c r="UQD60" s="14"/>
      <c r="UQE60" s="54"/>
      <c r="UQF60" s="54"/>
      <c r="UQG60" s="54"/>
      <c r="UQH60" s="54"/>
      <c r="UQI60" s="55"/>
      <c r="UQJ60" s="55"/>
      <c r="UQK60" s="58"/>
      <c r="UQL60" s="58"/>
      <c r="UQM60" s="58"/>
      <c r="UQN60" s="58"/>
      <c r="UQO60" s="58"/>
      <c r="UQP60" s="58"/>
      <c r="UQQ60" s="58"/>
      <c r="UQR60" s="14"/>
      <c r="UQS60" s="14"/>
      <c r="UQT60" s="14"/>
      <c r="UQU60" s="14"/>
      <c r="UQV60" s="54"/>
      <c r="UQW60" s="54"/>
      <c r="UQX60" s="54"/>
      <c r="UQY60" s="54"/>
      <c r="UQZ60" s="55"/>
      <c r="URA60" s="55"/>
      <c r="URB60" s="58"/>
      <c r="URC60" s="58"/>
      <c r="URD60" s="58"/>
      <c r="URE60" s="58"/>
      <c r="URF60" s="58"/>
      <c r="URG60" s="58"/>
      <c r="URH60" s="58"/>
      <c r="URI60" s="14"/>
      <c r="URJ60" s="14"/>
      <c r="URK60" s="14"/>
      <c r="URL60" s="14"/>
      <c r="URM60" s="54"/>
      <c r="URN60" s="54"/>
      <c r="URO60" s="54"/>
      <c r="URP60" s="54"/>
      <c r="URQ60" s="55"/>
      <c r="URR60" s="55"/>
      <c r="URS60" s="58"/>
      <c r="URT60" s="58"/>
      <c r="URU60" s="58"/>
      <c r="URV60" s="58"/>
      <c r="URW60" s="58"/>
      <c r="URX60" s="58"/>
      <c r="URY60" s="58"/>
      <c r="URZ60" s="14"/>
      <c r="USA60" s="14"/>
      <c r="USB60" s="14"/>
      <c r="USC60" s="14"/>
      <c r="USD60" s="54"/>
      <c r="USE60" s="54"/>
      <c r="USF60" s="54"/>
      <c r="USG60" s="54"/>
      <c r="USH60" s="55"/>
      <c r="USI60" s="55"/>
      <c r="USJ60" s="58"/>
      <c r="USK60" s="58"/>
      <c r="USL60" s="58"/>
      <c r="USM60" s="58"/>
      <c r="USN60" s="58"/>
      <c r="USO60" s="58"/>
      <c r="USP60" s="58"/>
      <c r="USQ60" s="14"/>
      <c r="USR60" s="14"/>
      <c r="USS60" s="14"/>
      <c r="UST60" s="14"/>
      <c r="USU60" s="54"/>
      <c r="USV60" s="54"/>
      <c r="USW60" s="54"/>
      <c r="USX60" s="54"/>
      <c r="USY60" s="55"/>
      <c r="USZ60" s="55"/>
      <c r="UTA60" s="58"/>
      <c r="UTB60" s="58"/>
      <c r="UTC60" s="58"/>
      <c r="UTD60" s="58"/>
      <c r="UTE60" s="58"/>
      <c r="UTF60" s="58"/>
      <c r="UTG60" s="58"/>
      <c r="UTH60" s="14"/>
      <c r="UTI60" s="14"/>
      <c r="UTJ60" s="14"/>
      <c r="UTK60" s="14"/>
      <c r="UTL60" s="54"/>
      <c r="UTM60" s="54"/>
      <c r="UTN60" s="54"/>
      <c r="UTO60" s="54"/>
      <c r="UTP60" s="55"/>
      <c r="UTQ60" s="55"/>
      <c r="UTR60" s="58"/>
      <c r="UTS60" s="58"/>
      <c r="UTT60" s="58"/>
      <c r="UTU60" s="58"/>
      <c r="UTV60" s="58"/>
      <c r="UTW60" s="58"/>
      <c r="UTX60" s="58"/>
      <c r="UTY60" s="14"/>
      <c r="UTZ60" s="14"/>
      <c r="UUA60" s="14"/>
      <c r="UUB60" s="14"/>
      <c r="UUC60" s="54"/>
      <c r="UUD60" s="54"/>
      <c r="UUE60" s="54"/>
      <c r="UUF60" s="54"/>
      <c r="UUG60" s="55"/>
      <c r="UUH60" s="55"/>
      <c r="UUI60" s="58"/>
      <c r="UUJ60" s="58"/>
      <c r="UUK60" s="58"/>
      <c r="UUL60" s="58"/>
      <c r="UUM60" s="58"/>
      <c r="UUN60" s="58"/>
      <c r="UUO60" s="58"/>
      <c r="UUP60" s="14"/>
      <c r="UUQ60" s="14"/>
      <c r="UUR60" s="14"/>
      <c r="UUS60" s="14"/>
      <c r="UUT60" s="54"/>
      <c r="UUU60" s="54"/>
      <c r="UUV60" s="54"/>
      <c r="UUW60" s="54"/>
      <c r="UUX60" s="55"/>
      <c r="UUY60" s="55"/>
      <c r="UUZ60" s="58"/>
      <c r="UVA60" s="58"/>
      <c r="UVB60" s="58"/>
      <c r="UVC60" s="58"/>
      <c r="UVD60" s="58"/>
      <c r="UVE60" s="58"/>
      <c r="UVF60" s="58"/>
      <c r="UVG60" s="14"/>
      <c r="UVH60" s="14"/>
      <c r="UVI60" s="14"/>
      <c r="UVJ60" s="14"/>
      <c r="UVK60" s="54"/>
      <c r="UVL60" s="54"/>
      <c r="UVM60" s="54"/>
      <c r="UVN60" s="54"/>
      <c r="UVO60" s="55"/>
      <c r="UVP60" s="55"/>
      <c r="UVQ60" s="58"/>
      <c r="UVR60" s="58"/>
      <c r="UVS60" s="58"/>
      <c r="UVT60" s="58"/>
      <c r="UVU60" s="58"/>
      <c r="UVV60" s="58"/>
      <c r="UVW60" s="58"/>
      <c r="UVX60" s="14"/>
      <c r="UVY60" s="14"/>
      <c r="UVZ60" s="14"/>
      <c r="UWA60" s="14"/>
      <c r="UWB60" s="54"/>
      <c r="UWC60" s="54"/>
      <c r="UWD60" s="54"/>
      <c r="UWE60" s="54"/>
      <c r="UWF60" s="55"/>
      <c r="UWG60" s="55"/>
      <c r="UWH60" s="58"/>
      <c r="UWI60" s="58"/>
      <c r="UWJ60" s="58"/>
      <c r="UWK60" s="58"/>
      <c r="UWL60" s="58"/>
      <c r="UWM60" s="58"/>
      <c r="UWN60" s="58"/>
      <c r="UWO60" s="14"/>
      <c r="UWP60" s="14"/>
      <c r="UWQ60" s="14"/>
      <c r="UWR60" s="14"/>
      <c r="UWS60" s="54"/>
      <c r="UWT60" s="54"/>
      <c r="UWU60" s="54"/>
      <c r="UWV60" s="54"/>
      <c r="UWW60" s="55"/>
      <c r="UWX60" s="55"/>
      <c r="UWY60" s="58"/>
      <c r="UWZ60" s="58"/>
      <c r="UXA60" s="58"/>
      <c r="UXB60" s="58"/>
      <c r="UXC60" s="58"/>
      <c r="UXD60" s="58"/>
      <c r="UXE60" s="58"/>
      <c r="UXF60" s="14"/>
      <c r="UXG60" s="14"/>
      <c r="UXH60" s="14"/>
      <c r="UXI60" s="14"/>
      <c r="UXJ60" s="54"/>
      <c r="UXK60" s="54"/>
      <c r="UXL60" s="54"/>
      <c r="UXM60" s="54"/>
      <c r="UXN60" s="55"/>
      <c r="UXO60" s="55"/>
      <c r="UXP60" s="58"/>
      <c r="UXQ60" s="58"/>
      <c r="UXR60" s="58"/>
      <c r="UXS60" s="58"/>
      <c r="UXT60" s="58"/>
      <c r="UXU60" s="58"/>
      <c r="UXV60" s="58"/>
      <c r="UXW60" s="14"/>
      <c r="UXX60" s="14"/>
      <c r="UXY60" s="14"/>
      <c r="UXZ60" s="14"/>
      <c r="UYA60" s="54"/>
      <c r="UYB60" s="54"/>
      <c r="UYC60" s="54"/>
      <c r="UYD60" s="54"/>
      <c r="UYE60" s="55"/>
      <c r="UYF60" s="55"/>
      <c r="UYG60" s="58"/>
      <c r="UYH60" s="58"/>
      <c r="UYI60" s="58"/>
      <c r="UYJ60" s="58"/>
      <c r="UYK60" s="58"/>
      <c r="UYL60" s="58"/>
      <c r="UYM60" s="58"/>
      <c r="UYN60" s="14"/>
      <c r="UYO60" s="14"/>
      <c r="UYP60" s="14"/>
      <c r="UYQ60" s="14"/>
      <c r="UYR60" s="54"/>
      <c r="UYS60" s="54"/>
      <c r="UYT60" s="54"/>
      <c r="UYU60" s="54"/>
      <c r="UYV60" s="55"/>
      <c r="UYW60" s="55"/>
      <c r="UYX60" s="58"/>
      <c r="UYY60" s="58"/>
      <c r="UYZ60" s="58"/>
      <c r="UZA60" s="58"/>
      <c r="UZB60" s="58"/>
      <c r="UZC60" s="58"/>
      <c r="UZD60" s="58"/>
      <c r="UZE60" s="14"/>
      <c r="UZF60" s="14"/>
      <c r="UZG60" s="14"/>
      <c r="UZH60" s="14"/>
      <c r="UZI60" s="54"/>
      <c r="UZJ60" s="54"/>
      <c r="UZK60" s="54"/>
      <c r="UZL60" s="54"/>
      <c r="UZM60" s="55"/>
      <c r="UZN60" s="55"/>
      <c r="UZO60" s="58"/>
      <c r="UZP60" s="58"/>
      <c r="UZQ60" s="58"/>
      <c r="UZR60" s="58"/>
      <c r="UZS60" s="58"/>
      <c r="UZT60" s="58"/>
      <c r="UZU60" s="58"/>
      <c r="UZV60" s="14"/>
      <c r="UZW60" s="14"/>
      <c r="UZX60" s="14"/>
      <c r="UZY60" s="14"/>
      <c r="UZZ60" s="54"/>
      <c r="VAA60" s="54"/>
      <c r="VAB60" s="54"/>
      <c r="VAC60" s="54"/>
      <c r="VAD60" s="55"/>
      <c r="VAE60" s="55"/>
      <c r="VAF60" s="58"/>
      <c r="VAG60" s="58"/>
      <c r="VAH60" s="58"/>
      <c r="VAI60" s="58"/>
      <c r="VAJ60" s="58"/>
      <c r="VAK60" s="58"/>
      <c r="VAL60" s="58"/>
      <c r="VAM60" s="14"/>
      <c r="VAN60" s="14"/>
      <c r="VAO60" s="14"/>
      <c r="VAP60" s="14"/>
      <c r="VAQ60" s="54"/>
      <c r="VAR60" s="54"/>
      <c r="VAS60" s="54"/>
      <c r="VAT60" s="54"/>
      <c r="VAU60" s="55"/>
      <c r="VAV60" s="55"/>
      <c r="VAW60" s="58"/>
      <c r="VAX60" s="58"/>
      <c r="VAY60" s="58"/>
      <c r="VAZ60" s="58"/>
      <c r="VBA60" s="58"/>
      <c r="VBB60" s="58"/>
      <c r="VBC60" s="58"/>
      <c r="VBD60" s="14"/>
      <c r="VBE60" s="14"/>
      <c r="VBF60" s="14"/>
      <c r="VBG60" s="14"/>
      <c r="VBH60" s="54"/>
      <c r="VBI60" s="54"/>
      <c r="VBJ60" s="54"/>
      <c r="VBK60" s="54"/>
      <c r="VBL60" s="55"/>
      <c r="VBM60" s="55"/>
      <c r="VBN60" s="58"/>
      <c r="VBO60" s="58"/>
      <c r="VBP60" s="58"/>
      <c r="VBQ60" s="58"/>
      <c r="VBR60" s="58"/>
      <c r="VBS60" s="58"/>
      <c r="VBT60" s="58"/>
      <c r="VBU60" s="14"/>
      <c r="VBV60" s="14"/>
      <c r="VBW60" s="14"/>
      <c r="VBX60" s="14"/>
      <c r="VBY60" s="54"/>
      <c r="VBZ60" s="54"/>
      <c r="VCA60" s="54"/>
      <c r="VCB60" s="54"/>
      <c r="VCC60" s="55"/>
      <c r="VCD60" s="55"/>
      <c r="VCE60" s="58"/>
      <c r="VCF60" s="58"/>
      <c r="VCG60" s="58"/>
      <c r="VCH60" s="58"/>
      <c r="VCI60" s="58"/>
      <c r="VCJ60" s="58"/>
      <c r="VCK60" s="58"/>
      <c r="VCL60" s="14"/>
      <c r="VCM60" s="14"/>
      <c r="VCN60" s="14"/>
      <c r="VCO60" s="14"/>
      <c r="VCP60" s="54"/>
      <c r="VCQ60" s="54"/>
      <c r="VCR60" s="54"/>
      <c r="VCS60" s="54"/>
      <c r="VCT60" s="55"/>
      <c r="VCU60" s="55"/>
      <c r="VCV60" s="58"/>
      <c r="VCW60" s="58"/>
      <c r="VCX60" s="58"/>
      <c r="VCY60" s="58"/>
      <c r="VCZ60" s="58"/>
      <c r="VDA60" s="58"/>
      <c r="VDB60" s="58"/>
      <c r="VDC60" s="14"/>
      <c r="VDD60" s="14"/>
      <c r="VDE60" s="14"/>
      <c r="VDF60" s="14"/>
      <c r="VDG60" s="54"/>
      <c r="VDH60" s="54"/>
      <c r="VDI60" s="54"/>
      <c r="VDJ60" s="54"/>
      <c r="VDK60" s="55"/>
      <c r="VDL60" s="55"/>
      <c r="VDM60" s="58"/>
      <c r="VDN60" s="58"/>
      <c r="VDO60" s="58"/>
      <c r="VDP60" s="58"/>
      <c r="VDQ60" s="58"/>
      <c r="VDR60" s="58"/>
      <c r="VDS60" s="58"/>
      <c r="VDT60" s="14"/>
      <c r="VDU60" s="14"/>
      <c r="VDV60" s="14"/>
      <c r="VDW60" s="14"/>
      <c r="VDX60" s="54"/>
      <c r="VDY60" s="54"/>
      <c r="VDZ60" s="54"/>
      <c r="VEA60" s="54"/>
      <c r="VEB60" s="55"/>
      <c r="VEC60" s="55"/>
      <c r="VED60" s="58"/>
      <c r="VEE60" s="58"/>
      <c r="VEF60" s="58"/>
      <c r="VEG60" s="58"/>
      <c r="VEH60" s="58"/>
      <c r="VEI60" s="58"/>
      <c r="VEJ60" s="58"/>
      <c r="VEK60" s="14"/>
      <c r="VEL60" s="14"/>
      <c r="VEM60" s="14"/>
      <c r="VEN60" s="14"/>
      <c r="VEO60" s="54"/>
      <c r="VEP60" s="54"/>
      <c r="VEQ60" s="54"/>
      <c r="VER60" s="54"/>
      <c r="VES60" s="55"/>
      <c r="VET60" s="55"/>
      <c r="VEU60" s="58"/>
      <c r="VEV60" s="58"/>
      <c r="VEW60" s="58"/>
      <c r="VEX60" s="58"/>
      <c r="VEY60" s="58"/>
      <c r="VEZ60" s="58"/>
      <c r="VFA60" s="58"/>
      <c r="VFB60" s="14"/>
      <c r="VFC60" s="14"/>
      <c r="VFD60" s="14"/>
      <c r="VFE60" s="14"/>
      <c r="VFF60" s="54"/>
      <c r="VFG60" s="54"/>
      <c r="VFH60" s="54"/>
      <c r="VFI60" s="54"/>
      <c r="VFJ60" s="55"/>
      <c r="VFK60" s="55"/>
      <c r="VFL60" s="58"/>
      <c r="VFM60" s="58"/>
      <c r="VFN60" s="58"/>
      <c r="VFO60" s="58"/>
      <c r="VFP60" s="58"/>
      <c r="VFQ60" s="58"/>
      <c r="VFR60" s="58"/>
      <c r="VFS60" s="14"/>
      <c r="VFT60" s="14"/>
      <c r="VFU60" s="14"/>
      <c r="VFV60" s="14"/>
      <c r="VFW60" s="54"/>
      <c r="VFX60" s="54"/>
      <c r="VFY60" s="54"/>
      <c r="VFZ60" s="54"/>
      <c r="VGA60" s="55"/>
      <c r="VGB60" s="55"/>
      <c r="VGC60" s="58"/>
      <c r="VGD60" s="58"/>
      <c r="VGE60" s="58"/>
      <c r="VGF60" s="58"/>
      <c r="VGG60" s="58"/>
      <c r="VGH60" s="58"/>
      <c r="VGI60" s="58"/>
      <c r="VGJ60" s="14"/>
      <c r="VGK60" s="14"/>
      <c r="VGL60" s="14"/>
      <c r="VGM60" s="14"/>
      <c r="VGN60" s="54"/>
      <c r="VGO60" s="54"/>
      <c r="VGP60" s="54"/>
      <c r="VGQ60" s="54"/>
      <c r="VGR60" s="55"/>
      <c r="VGS60" s="55"/>
      <c r="VGT60" s="58"/>
      <c r="VGU60" s="58"/>
      <c r="VGV60" s="58"/>
      <c r="VGW60" s="58"/>
      <c r="VGX60" s="58"/>
      <c r="VGY60" s="58"/>
      <c r="VGZ60" s="58"/>
      <c r="VHA60" s="14"/>
      <c r="VHB60" s="14"/>
      <c r="VHC60" s="14"/>
      <c r="VHD60" s="14"/>
      <c r="VHE60" s="54"/>
      <c r="VHF60" s="54"/>
      <c r="VHG60" s="54"/>
      <c r="VHH60" s="54"/>
      <c r="VHI60" s="55"/>
      <c r="VHJ60" s="55"/>
      <c r="VHK60" s="58"/>
      <c r="VHL60" s="58"/>
      <c r="VHM60" s="58"/>
      <c r="VHN60" s="58"/>
      <c r="VHO60" s="58"/>
      <c r="VHP60" s="58"/>
      <c r="VHQ60" s="58"/>
      <c r="VHR60" s="14"/>
      <c r="VHS60" s="14"/>
      <c r="VHT60" s="14"/>
      <c r="VHU60" s="14"/>
      <c r="VHV60" s="54"/>
      <c r="VHW60" s="54"/>
      <c r="VHX60" s="54"/>
      <c r="VHY60" s="54"/>
      <c r="VHZ60" s="55"/>
      <c r="VIA60" s="55"/>
      <c r="VIB60" s="58"/>
      <c r="VIC60" s="58"/>
      <c r="VID60" s="58"/>
      <c r="VIE60" s="58"/>
      <c r="VIF60" s="58"/>
      <c r="VIG60" s="58"/>
      <c r="VIH60" s="58"/>
      <c r="VII60" s="14"/>
      <c r="VIJ60" s="14"/>
      <c r="VIK60" s="14"/>
      <c r="VIL60" s="14"/>
      <c r="VIM60" s="54"/>
      <c r="VIN60" s="54"/>
      <c r="VIO60" s="54"/>
      <c r="VIP60" s="54"/>
      <c r="VIQ60" s="55"/>
      <c r="VIR60" s="55"/>
      <c r="VIS60" s="58"/>
      <c r="VIT60" s="58"/>
      <c r="VIU60" s="58"/>
      <c r="VIV60" s="58"/>
      <c r="VIW60" s="58"/>
      <c r="VIX60" s="58"/>
      <c r="VIY60" s="58"/>
      <c r="VIZ60" s="14"/>
      <c r="VJA60" s="14"/>
      <c r="VJB60" s="14"/>
      <c r="VJC60" s="14"/>
      <c r="VJD60" s="54"/>
      <c r="VJE60" s="54"/>
      <c r="VJF60" s="54"/>
      <c r="VJG60" s="54"/>
      <c r="VJH60" s="55"/>
      <c r="VJI60" s="55"/>
      <c r="VJJ60" s="58"/>
      <c r="VJK60" s="58"/>
      <c r="VJL60" s="58"/>
      <c r="VJM60" s="58"/>
      <c r="VJN60" s="58"/>
      <c r="VJO60" s="58"/>
      <c r="VJP60" s="58"/>
      <c r="VJQ60" s="14"/>
      <c r="VJR60" s="14"/>
      <c r="VJS60" s="14"/>
      <c r="VJT60" s="14"/>
      <c r="VJU60" s="54"/>
      <c r="VJV60" s="54"/>
      <c r="VJW60" s="54"/>
      <c r="VJX60" s="54"/>
      <c r="VJY60" s="55"/>
      <c r="VJZ60" s="55"/>
      <c r="VKA60" s="58"/>
      <c r="VKB60" s="58"/>
      <c r="VKC60" s="58"/>
      <c r="VKD60" s="58"/>
      <c r="VKE60" s="58"/>
      <c r="VKF60" s="58"/>
      <c r="VKG60" s="58"/>
      <c r="VKH60" s="14"/>
      <c r="VKI60" s="14"/>
      <c r="VKJ60" s="14"/>
      <c r="VKK60" s="14"/>
      <c r="VKL60" s="54"/>
      <c r="VKM60" s="54"/>
      <c r="VKN60" s="54"/>
      <c r="VKO60" s="54"/>
      <c r="VKP60" s="55"/>
      <c r="VKQ60" s="55"/>
      <c r="VKR60" s="58"/>
      <c r="VKS60" s="58"/>
      <c r="VKT60" s="58"/>
      <c r="VKU60" s="58"/>
      <c r="VKV60" s="58"/>
      <c r="VKW60" s="58"/>
      <c r="VKX60" s="58"/>
      <c r="VKY60" s="14"/>
      <c r="VKZ60" s="14"/>
      <c r="VLA60" s="14"/>
      <c r="VLB60" s="14"/>
      <c r="VLC60" s="54"/>
      <c r="VLD60" s="54"/>
      <c r="VLE60" s="54"/>
      <c r="VLF60" s="54"/>
      <c r="VLG60" s="55"/>
      <c r="VLH60" s="55"/>
      <c r="VLI60" s="58"/>
      <c r="VLJ60" s="58"/>
      <c r="VLK60" s="58"/>
      <c r="VLL60" s="58"/>
      <c r="VLM60" s="58"/>
      <c r="VLN60" s="58"/>
      <c r="VLO60" s="58"/>
      <c r="VLP60" s="14"/>
      <c r="VLQ60" s="14"/>
      <c r="VLR60" s="14"/>
      <c r="VLS60" s="14"/>
      <c r="VLT60" s="54"/>
      <c r="VLU60" s="54"/>
      <c r="VLV60" s="54"/>
      <c r="VLW60" s="54"/>
      <c r="VLX60" s="55"/>
      <c r="VLY60" s="55"/>
      <c r="VLZ60" s="58"/>
      <c r="VMA60" s="58"/>
      <c r="VMB60" s="58"/>
      <c r="VMC60" s="58"/>
      <c r="VMD60" s="58"/>
      <c r="VME60" s="58"/>
      <c r="VMF60" s="58"/>
      <c r="VMG60" s="14"/>
      <c r="VMH60" s="14"/>
      <c r="VMI60" s="14"/>
      <c r="VMJ60" s="14"/>
      <c r="VMK60" s="54"/>
      <c r="VML60" s="54"/>
      <c r="VMM60" s="54"/>
      <c r="VMN60" s="54"/>
      <c r="VMO60" s="55"/>
      <c r="VMP60" s="55"/>
      <c r="VMQ60" s="58"/>
      <c r="VMR60" s="58"/>
      <c r="VMS60" s="58"/>
      <c r="VMT60" s="58"/>
      <c r="VMU60" s="58"/>
      <c r="VMV60" s="58"/>
      <c r="VMW60" s="58"/>
      <c r="VMX60" s="14"/>
      <c r="VMY60" s="14"/>
      <c r="VMZ60" s="14"/>
      <c r="VNA60" s="14"/>
      <c r="VNB60" s="54"/>
      <c r="VNC60" s="54"/>
      <c r="VND60" s="54"/>
      <c r="VNE60" s="54"/>
      <c r="VNF60" s="55"/>
      <c r="VNG60" s="55"/>
      <c r="VNH60" s="58"/>
      <c r="VNI60" s="58"/>
      <c r="VNJ60" s="58"/>
      <c r="VNK60" s="58"/>
      <c r="VNL60" s="58"/>
      <c r="VNM60" s="58"/>
      <c r="VNN60" s="58"/>
      <c r="VNO60" s="14"/>
      <c r="VNP60" s="14"/>
      <c r="VNQ60" s="14"/>
      <c r="VNR60" s="14"/>
      <c r="VNS60" s="54"/>
      <c r="VNT60" s="54"/>
      <c r="VNU60" s="54"/>
      <c r="VNV60" s="54"/>
      <c r="VNW60" s="55"/>
      <c r="VNX60" s="55"/>
      <c r="VNY60" s="58"/>
      <c r="VNZ60" s="58"/>
      <c r="VOA60" s="58"/>
      <c r="VOB60" s="58"/>
      <c r="VOC60" s="58"/>
      <c r="VOD60" s="58"/>
      <c r="VOE60" s="58"/>
      <c r="VOF60" s="14"/>
      <c r="VOG60" s="14"/>
      <c r="VOH60" s="14"/>
      <c r="VOI60" s="14"/>
      <c r="VOJ60" s="54"/>
      <c r="VOK60" s="54"/>
      <c r="VOL60" s="54"/>
      <c r="VOM60" s="54"/>
      <c r="VON60" s="55"/>
      <c r="VOO60" s="55"/>
      <c r="VOP60" s="58"/>
      <c r="VOQ60" s="58"/>
      <c r="VOR60" s="58"/>
      <c r="VOS60" s="58"/>
      <c r="VOT60" s="58"/>
      <c r="VOU60" s="58"/>
      <c r="VOV60" s="58"/>
      <c r="VOW60" s="14"/>
      <c r="VOX60" s="14"/>
      <c r="VOY60" s="14"/>
      <c r="VOZ60" s="14"/>
      <c r="VPA60" s="54"/>
      <c r="VPB60" s="54"/>
      <c r="VPC60" s="54"/>
      <c r="VPD60" s="54"/>
      <c r="VPE60" s="55"/>
      <c r="VPF60" s="55"/>
      <c r="VPG60" s="58"/>
      <c r="VPH60" s="58"/>
      <c r="VPI60" s="58"/>
      <c r="VPJ60" s="58"/>
      <c r="VPK60" s="58"/>
      <c r="VPL60" s="58"/>
      <c r="VPM60" s="58"/>
      <c r="VPN60" s="14"/>
      <c r="VPO60" s="14"/>
      <c r="VPP60" s="14"/>
      <c r="VPQ60" s="14"/>
      <c r="VPR60" s="54"/>
      <c r="VPS60" s="54"/>
      <c r="VPT60" s="54"/>
      <c r="VPU60" s="54"/>
      <c r="VPV60" s="55"/>
      <c r="VPW60" s="55"/>
      <c r="VPX60" s="58"/>
      <c r="VPY60" s="58"/>
      <c r="VPZ60" s="58"/>
      <c r="VQA60" s="58"/>
      <c r="VQB60" s="58"/>
      <c r="VQC60" s="58"/>
      <c r="VQD60" s="58"/>
      <c r="VQE60" s="14"/>
      <c r="VQF60" s="14"/>
      <c r="VQG60" s="14"/>
      <c r="VQH60" s="14"/>
      <c r="VQI60" s="54"/>
      <c r="VQJ60" s="54"/>
      <c r="VQK60" s="54"/>
      <c r="VQL60" s="54"/>
      <c r="VQM60" s="55"/>
      <c r="VQN60" s="55"/>
      <c r="VQO60" s="58"/>
      <c r="VQP60" s="58"/>
      <c r="VQQ60" s="58"/>
      <c r="VQR60" s="58"/>
      <c r="VQS60" s="58"/>
      <c r="VQT60" s="58"/>
      <c r="VQU60" s="58"/>
      <c r="VQV60" s="14"/>
      <c r="VQW60" s="14"/>
      <c r="VQX60" s="14"/>
      <c r="VQY60" s="14"/>
      <c r="VQZ60" s="54"/>
      <c r="VRA60" s="54"/>
      <c r="VRB60" s="54"/>
      <c r="VRC60" s="54"/>
      <c r="VRD60" s="55"/>
      <c r="VRE60" s="55"/>
      <c r="VRF60" s="58"/>
      <c r="VRG60" s="58"/>
      <c r="VRH60" s="58"/>
      <c r="VRI60" s="58"/>
      <c r="VRJ60" s="58"/>
      <c r="VRK60" s="58"/>
      <c r="VRL60" s="58"/>
      <c r="VRM60" s="14"/>
      <c r="VRN60" s="14"/>
      <c r="VRO60" s="14"/>
      <c r="VRP60" s="14"/>
      <c r="VRQ60" s="54"/>
      <c r="VRR60" s="54"/>
      <c r="VRS60" s="54"/>
      <c r="VRT60" s="54"/>
      <c r="VRU60" s="55"/>
      <c r="VRV60" s="55"/>
      <c r="VRW60" s="58"/>
      <c r="VRX60" s="58"/>
      <c r="VRY60" s="58"/>
      <c r="VRZ60" s="58"/>
      <c r="VSA60" s="58"/>
      <c r="VSB60" s="58"/>
      <c r="VSC60" s="58"/>
      <c r="VSD60" s="14"/>
      <c r="VSE60" s="14"/>
      <c r="VSF60" s="14"/>
      <c r="VSG60" s="14"/>
      <c r="VSH60" s="54"/>
      <c r="VSI60" s="54"/>
      <c r="VSJ60" s="54"/>
      <c r="VSK60" s="54"/>
      <c r="VSL60" s="55"/>
      <c r="VSM60" s="55"/>
      <c r="VSN60" s="58"/>
      <c r="VSO60" s="58"/>
      <c r="VSP60" s="58"/>
      <c r="VSQ60" s="58"/>
      <c r="VSR60" s="58"/>
      <c r="VSS60" s="58"/>
      <c r="VST60" s="58"/>
      <c r="VSU60" s="14"/>
      <c r="VSV60" s="14"/>
      <c r="VSW60" s="14"/>
      <c r="VSX60" s="14"/>
      <c r="VSY60" s="54"/>
      <c r="VSZ60" s="54"/>
      <c r="VTA60" s="54"/>
      <c r="VTB60" s="54"/>
      <c r="VTC60" s="55"/>
      <c r="VTD60" s="55"/>
      <c r="VTE60" s="58"/>
      <c r="VTF60" s="58"/>
      <c r="VTG60" s="58"/>
      <c r="VTH60" s="58"/>
      <c r="VTI60" s="58"/>
      <c r="VTJ60" s="58"/>
      <c r="VTK60" s="58"/>
      <c r="VTL60" s="14"/>
      <c r="VTM60" s="14"/>
      <c r="VTN60" s="14"/>
      <c r="VTO60" s="14"/>
      <c r="VTP60" s="54"/>
      <c r="VTQ60" s="54"/>
      <c r="VTR60" s="54"/>
      <c r="VTS60" s="54"/>
      <c r="VTT60" s="55"/>
      <c r="VTU60" s="55"/>
      <c r="VTV60" s="58"/>
      <c r="VTW60" s="58"/>
      <c r="VTX60" s="58"/>
      <c r="VTY60" s="58"/>
      <c r="VTZ60" s="58"/>
      <c r="VUA60" s="58"/>
      <c r="VUB60" s="58"/>
      <c r="VUC60" s="14"/>
      <c r="VUD60" s="14"/>
      <c r="VUE60" s="14"/>
      <c r="VUF60" s="14"/>
      <c r="VUG60" s="54"/>
      <c r="VUH60" s="54"/>
      <c r="VUI60" s="54"/>
      <c r="VUJ60" s="54"/>
      <c r="VUK60" s="55"/>
      <c r="VUL60" s="55"/>
      <c r="VUM60" s="58"/>
      <c r="VUN60" s="58"/>
      <c r="VUO60" s="58"/>
      <c r="VUP60" s="58"/>
      <c r="VUQ60" s="58"/>
      <c r="VUR60" s="58"/>
      <c r="VUS60" s="58"/>
      <c r="VUT60" s="14"/>
      <c r="VUU60" s="14"/>
      <c r="VUV60" s="14"/>
      <c r="VUW60" s="14"/>
      <c r="VUX60" s="54"/>
      <c r="VUY60" s="54"/>
      <c r="VUZ60" s="54"/>
      <c r="VVA60" s="54"/>
      <c r="VVB60" s="55"/>
      <c r="VVC60" s="55"/>
      <c r="VVD60" s="58"/>
      <c r="VVE60" s="58"/>
      <c r="VVF60" s="58"/>
      <c r="VVG60" s="58"/>
      <c r="VVH60" s="58"/>
      <c r="VVI60" s="58"/>
      <c r="VVJ60" s="58"/>
      <c r="VVK60" s="14"/>
      <c r="VVL60" s="14"/>
      <c r="VVM60" s="14"/>
      <c r="VVN60" s="14"/>
      <c r="VVO60" s="54"/>
      <c r="VVP60" s="54"/>
      <c r="VVQ60" s="54"/>
      <c r="VVR60" s="54"/>
      <c r="VVS60" s="55"/>
      <c r="VVT60" s="55"/>
      <c r="VVU60" s="58"/>
      <c r="VVV60" s="58"/>
      <c r="VVW60" s="58"/>
      <c r="VVX60" s="58"/>
      <c r="VVY60" s="58"/>
      <c r="VVZ60" s="58"/>
      <c r="VWA60" s="58"/>
      <c r="VWB60" s="14"/>
      <c r="VWC60" s="14"/>
      <c r="VWD60" s="14"/>
      <c r="VWE60" s="14"/>
      <c r="VWF60" s="54"/>
      <c r="VWG60" s="54"/>
      <c r="VWH60" s="54"/>
      <c r="VWI60" s="54"/>
      <c r="VWJ60" s="55"/>
      <c r="VWK60" s="55"/>
      <c r="VWL60" s="58"/>
      <c r="VWM60" s="58"/>
      <c r="VWN60" s="58"/>
      <c r="VWO60" s="58"/>
      <c r="VWP60" s="58"/>
      <c r="VWQ60" s="58"/>
      <c r="VWR60" s="58"/>
      <c r="VWS60" s="14"/>
      <c r="VWT60" s="14"/>
      <c r="VWU60" s="14"/>
      <c r="VWV60" s="14"/>
      <c r="VWW60" s="54"/>
      <c r="VWX60" s="54"/>
      <c r="VWY60" s="54"/>
      <c r="VWZ60" s="54"/>
      <c r="VXA60" s="55"/>
      <c r="VXB60" s="55"/>
      <c r="VXC60" s="58"/>
      <c r="VXD60" s="58"/>
      <c r="VXE60" s="58"/>
      <c r="VXF60" s="58"/>
      <c r="VXG60" s="58"/>
      <c r="VXH60" s="58"/>
      <c r="VXI60" s="58"/>
      <c r="VXJ60" s="14"/>
      <c r="VXK60" s="14"/>
      <c r="VXL60" s="14"/>
      <c r="VXM60" s="14"/>
      <c r="VXN60" s="54"/>
      <c r="VXO60" s="54"/>
      <c r="VXP60" s="54"/>
      <c r="VXQ60" s="54"/>
      <c r="VXR60" s="55"/>
      <c r="VXS60" s="55"/>
      <c r="VXT60" s="58"/>
      <c r="VXU60" s="58"/>
      <c r="VXV60" s="58"/>
      <c r="VXW60" s="58"/>
      <c r="VXX60" s="58"/>
      <c r="VXY60" s="58"/>
      <c r="VXZ60" s="58"/>
      <c r="VYA60" s="14"/>
      <c r="VYB60" s="14"/>
      <c r="VYC60" s="14"/>
      <c r="VYD60" s="14"/>
      <c r="VYE60" s="54"/>
      <c r="VYF60" s="54"/>
      <c r="VYG60" s="54"/>
      <c r="VYH60" s="54"/>
      <c r="VYI60" s="55"/>
      <c r="VYJ60" s="55"/>
      <c r="VYK60" s="58"/>
      <c r="VYL60" s="58"/>
      <c r="VYM60" s="58"/>
      <c r="VYN60" s="58"/>
      <c r="VYO60" s="58"/>
      <c r="VYP60" s="58"/>
      <c r="VYQ60" s="58"/>
      <c r="VYR60" s="14"/>
      <c r="VYS60" s="14"/>
      <c r="VYT60" s="14"/>
      <c r="VYU60" s="14"/>
      <c r="VYV60" s="54"/>
      <c r="VYW60" s="54"/>
      <c r="VYX60" s="54"/>
      <c r="VYY60" s="54"/>
      <c r="VYZ60" s="55"/>
      <c r="VZA60" s="55"/>
      <c r="VZB60" s="58"/>
      <c r="VZC60" s="58"/>
      <c r="VZD60" s="58"/>
      <c r="VZE60" s="58"/>
      <c r="VZF60" s="58"/>
      <c r="VZG60" s="58"/>
      <c r="VZH60" s="58"/>
      <c r="VZI60" s="14"/>
      <c r="VZJ60" s="14"/>
      <c r="VZK60" s="14"/>
      <c r="VZL60" s="14"/>
      <c r="VZM60" s="54"/>
      <c r="VZN60" s="54"/>
      <c r="VZO60" s="54"/>
      <c r="VZP60" s="54"/>
      <c r="VZQ60" s="55"/>
      <c r="VZR60" s="55"/>
      <c r="VZS60" s="58"/>
      <c r="VZT60" s="58"/>
      <c r="VZU60" s="58"/>
      <c r="VZV60" s="58"/>
      <c r="VZW60" s="58"/>
      <c r="VZX60" s="58"/>
      <c r="VZY60" s="58"/>
      <c r="VZZ60" s="14"/>
      <c r="WAA60" s="14"/>
      <c r="WAB60" s="14"/>
      <c r="WAC60" s="14"/>
      <c r="WAD60" s="54"/>
      <c r="WAE60" s="54"/>
      <c r="WAF60" s="54"/>
      <c r="WAG60" s="54"/>
      <c r="WAH60" s="55"/>
      <c r="WAI60" s="55"/>
      <c r="WAJ60" s="58"/>
      <c r="WAK60" s="58"/>
      <c r="WAL60" s="58"/>
      <c r="WAM60" s="58"/>
      <c r="WAN60" s="58"/>
      <c r="WAO60" s="58"/>
      <c r="WAP60" s="58"/>
      <c r="WAQ60" s="14"/>
      <c r="WAR60" s="14"/>
      <c r="WAS60" s="14"/>
      <c r="WAT60" s="14"/>
      <c r="WAU60" s="54"/>
      <c r="WAV60" s="54"/>
      <c r="WAW60" s="54"/>
      <c r="WAX60" s="54"/>
      <c r="WAY60" s="55"/>
      <c r="WAZ60" s="55"/>
      <c r="WBA60" s="58"/>
      <c r="WBB60" s="58"/>
      <c r="WBC60" s="58"/>
      <c r="WBD60" s="58"/>
      <c r="WBE60" s="58"/>
      <c r="WBF60" s="58"/>
      <c r="WBG60" s="58"/>
      <c r="WBH60" s="14"/>
      <c r="WBI60" s="14"/>
      <c r="WBJ60" s="14"/>
      <c r="WBK60" s="14"/>
      <c r="WBL60" s="54"/>
      <c r="WBM60" s="54"/>
      <c r="WBN60" s="54"/>
      <c r="WBO60" s="54"/>
      <c r="WBP60" s="55"/>
      <c r="WBQ60" s="55"/>
      <c r="WBR60" s="58"/>
      <c r="WBS60" s="58"/>
      <c r="WBT60" s="58"/>
      <c r="WBU60" s="58"/>
      <c r="WBV60" s="58"/>
      <c r="WBW60" s="58"/>
      <c r="WBX60" s="58"/>
      <c r="WBY60" s="14"/>
      <c r="WBZ60" s="14"/>
      <c r="WCA60" s="14"/>
      <c r="WCB60" s="14"/>
      <c r="WCC60" s="54"/>
      <c r="WCD60" s="54"/>
      <c r="WCE60" s="54"/>
      <c r="WCF60" s="54"/>
      <c r="WCG60" s="55"/>
      <c r="WCH60" s="55"/>
      <c r="WCI60" s="58"/>
      <c r="WCJ60" s="58"/>
      <c r="WCK60" s="58"/>
      <c r="WCL60" s="58"/>
      <c r="WCM60" s="58"/>
      <c r="WCN60" s="58"/>
      <c r="WCO60" s="58"/>
      <c r="WCP60" s="14"/>
      <c r="WCQ60" s="14"/>
      <c r="WCR60" s="14"/>
      <c r="WCS60" s="14"/>
      <c r="WCT60" s="54"/>
      <c r="WCU60" s="54"/>
      <c r="WCV60" s="54"/>
      <c r="WCW60" s="54"/>
      <c r="WCX60" s="55"/>
      <c r="WCY60" s="55"/>
      <c r="WCZ60" s="58"/>
      <c r="WDA60" s="58"/>
      <c r="WDB60" s="58"/>
      <c r="WDC60" s="58"/>
      <c r="WDD60" s="58"/>
      <c r="WDE60" s="58"/>
      <c r="WDF60" s="58"/>
      <c r="WDG60" s="14"/>
      <c r="WDH60" s="14"/>
      <c r="WDI60" s="14"/>
      <c r="WDJ60" s="14"/>
      <c r="WDK60" s="54"/>
      <c r="WDL60" s="54"/>
      <c r="WDM60" s="54"/>
      <c r="WDN60" s="54"/>
      <c r="WDO60" s="55"/>
      <c r="WDP60" s="55"/>
      <c r="WDQ60" s="58"/>
      <c r="WDR60" s="58"/>
      <c r="WDS60" s="58"/>
      <c r="WDT60" s="58"/>
      <c r="WDU60" s="58"/>
      <c r="WDV60" s="58"/>
      <c r="WDW60" s="58"/>
      <c r="WDX60" s="14"/>
      <c r="WDY60" s="14"/>
      <c r="WDZ60" s="14"/>
      <c r="WEA60" s="14"/>
      <c r="WEB60" s="54"/>
      <c r="WEC60" s="54"/>
      <c r="WED60" s="54"/>
      <c r="WEE60" s="54"/>
      <c r="WEF60" s="55"/>
      <c r="WEG60" s="55"/>
      <c r="WEH60" s="58"/>
      <c r="WEI60" s="58"/>
      <c r="WEJ60" s="58"/>
      <c r="WEK60" s="58"/>
      <c r="WEL60" s="58"/>
      <c r="WEM60" s="58"/>
      <c r="WEN60" s="58"/>
      <c r="WEO60" s="14"/>
      <c r="WEP60" s="14"/>
      <c r="WEQ60" s="14"/>
      <c r="WER60" s="14"/>
      <c r="WES60" s="54"/>
      <c r="WET60" s="54"/>
      <c r="WEU60" s="54"/>
      <c r="WEV60" s="54"/>
      <c r="WEW60" s="55"/>
      <c r="WEX60" s="55"/>
      <c r="WEY60" s="58"/>
      <c r="WEZ60" s="58"/>
      <c r="WFA60" s="58"/>
      <c r="WFB60" s="58"/>
      <c r="WFC60" s="58"/>
      <c r="WFD60" s="58"/>
      <c r="WFE60" s="58"/>
      <c r="WFF60" s="14"/>
      <c r="WFG60" s="14"/>
      <c r="WFH60" s="14"/>
      <c r="WFI60" s="14"/>
      <c r="WFJ60" s="54"/>
      <c r="WFK60" s="54"/>
      <c r="WFL60" s="54"/>
      <c r="WFM60" s="54"/>
      <c r="WFN60" s="55"/>
      <c r="WFO60" s="55"/>
      <c r="WFP60" s="58"/>
      <c r="WFQ60" s="58"/>
      <c r="WFR60" s="58"/>
      <c r="WFS60" s="58"/>
      <c r="WFT60" s="58"/>
      <c r="WFU60" s="58"/>
      <c r="WFV60" s="58"/>
      <c r="WFW60" s="14"/>
      <c r="WFX60" s="14"/>
      <c r="WFY60" s="14"/>
      <c r="WFZ60" s="14"/>
      <c r="WGA60" s="54"/>
      <c r="WGB60" s="54"/>
      <c r="WGC60" s="54"/>
      <c r="WGD60" s="54"/>
      <c r="WGE60" s="55"/>
      <c r="WGF60" s="55"/>
      <c r="WGG60" s="58"/>
      <c r="WGH60" s="58"/>
      <c r="WGI60" s="58"/>
      <c r="WGJ60" s="58"/>
      <c r="WGK60" s="58"/>
      <c r="WGL60" s="58"/>
      <c r="WGM60" s="58"/>
      <c r="WGN60" s="14"/>
      <c r="WGO60" s="14"/>
      <c r="WGP60" s="14"/>
      <c r="WGQ60" s="14"/>
      <c r="WGR60" s="54"/>
      <c r="WGS60" s="54"/>
      <c r="WGT60" s="54"/>
      <c r="WGU60" s="54"/>
      <c r="WGV60" s="55"/>
      <c r="WGW60" s="55"/>
      <c r="WGX60" s="58"/>
      <c r="WGY60" s="58"/>
      <c r="WGZ60" s="58"/>
      <c r="WHA60" s="58"/>
      <c r="WHB60" s="58"/>
      <c r="WHC60" s="58"/>
      <c r="WHD60" s="58"/>
      <c r="WHE60" s="14"/>
      <c r="WHF60" s="14"/>
      <c r="WHG60" s="14"/>
      <c r="WHH60" s="14"/>
      <c r="WHI60" s="54"/>
      <c r="WHJ60" s="54"/>
      <c r="WHK60" s="54"/>
      <c r="WHL60" s="54"/>
      <c r="WHM60" s="55"/>
      <c r="WHN60" s="55"/>
      <c r="WHO60" s="58"/>
      <c r="WHP60" s="58"/>
      <c r="WHQ60" s="58"/>
      <c r="WHR60" s="58"/>
      <c r="WHS60" s="58"/>
      <c r="WHT60" s="58"/>
      <c r="WHU60" s="58"/>
      <c r="WHV60" s="14"/>
      <c r="WHW60" s="14"/>
      <c r="WHX60" s="14"/>
      <c r="WHY60" s="14"/>
      <c r="WHZ60" s="54"/>
      <c r="WIA60" s="54"/>
      <c r="WIB60" s="54"/>
      <c r="WIC60" s="54"/>
      <c r="WID60" s="55"/>
      <c r="WIE60" s="55"/>
      <c r="WIF60" s="58"/>
      <c r="WIG60" s="58"/>
      <c r="WIH60" s="58"/>
      <c r="WII60" s="58"/>
      <c r="WIJ60" s="58"/>
      <c r="WIK60" s="58"/>
      <c r="WIL60" s="58"/>
      <c r="WIM60" s="14"/>
      <c r="WIN60" s="14"/>
      <c r="WIO60" s="14"/>
      <c r="WIP60" s="14"/>
      <c r="WIQ60" s="54"/>
      <c r="WIR60" s="54"/>
      <c r="WIS60" s="54"/>
      <c r="WIT60" s="54"/>
      <c r="WIU60" s="55"/>
      <c r="WIV60" s="55"/>
      <c r="WIW60" s="58"/>
      <c r="WIX60" s="58"/>
      <c r="WIY60" s="58"/>
      <c r="WIZ60" s="58"/>
      <c r="WJA60" s="58"/>
      <c r="WJB60" s="58"/>
      <c r="WJC60" s="58"/>
      <c r="WJD60" s="14"/>
      <c r="WJE60" s="14"/>
      <c r="WJF60" s="14"/>
      <c r="WJG60" s="14"/>
      <c r="WJH60" s="54"/>
      <c r="WJI60" s="54"/>
      <c r="WJJ60" s="54"/>
      <c r="WJK60" s="54"/>
      <c r="WJL60" s="55"/>
      <c r="WJM60" s="55"/>
      <c r="WJN60" s="58"/>
      <c r="WJO60" s="58"/>
      <c r="WJP60" s="58"/>
      <c r="WJQ60" s="58"/>
      <c r="WJR60" s="58"/>
      <c r="WJS60" s="58"/>
      <c r="WJT60" s="58"/>
      <c r="WJU60" s="14"/>
      <c r="WJV60" s="14"/>
      <c r="WJW60" s="14"/>
      <c r="WJX60" s="14"/>
      <c r="WJY60" s="54"/>
      <c r="WJZ60" s="54"/>
      <c r="WKA60" s="54"/>
      <c r="WKB60" s="54"/>
      <c r="WKC60" s="55"/>
      <c r="WKD60" s="55"/>
      <c r="WKE60" s="58"/>
      <c r="WKF60" s="58"/>
      <c r="WKG60" s="58"/>
      <c r="WKH60" s="58"/>
      <c r="WKI60" s="58"/>
      <c r="WKJ60" s="58"/>
      <c r="WKK60" s="58"/>
      <c r="WKL60" s="14"/>
      <c r="WKM60" s="14"/>
      <c r="WKN60" s="14"/>
      <c r="WKO60" s="14"/>
      <c r="WKP60" s="54"/>
      <c r="WKQ60" s="54"/>
      <c r="WKR60" s="54"/>
      <c r="WKS60" s="54"/>
      <c r="WKT60" s="55"/>
      <c r="WKU60" s="55"/>
      <c r="WKV60" s="58"/>
      <c r="WKW60" s="58"/>
      <c r="WKX60" s="58"/>
      <c r="WKY60" s="58"/>
      <c r="WKZ60" s="58"/>
      <c r="WLA60" s="58"/>
      <c r="WLB60" s="58"/>
      <c r="WLC60" s="14"/>
      <c r="WLD60" s="14"/>
      <c r="WLE60" s="14"/>
      <c r="WLF60" s="14"/>
      <c r="WLG60" s="54"/>
      <c r="WLH60" s="54"/>
      <c r="WLI60" s="54"/>
      <c r="WLJ60" s="54"/>
      <c r="WLK60" s="55"/>
      <c r="WLL60" s="55"/>
      <c r="WLM60" s="58"/>
      <c r="WLN60" s="58"/>
      <c r="WLO60" s="58"/>
      <c r="WLP60" s="58"/>
      <c r="WLQ60" s="58"/>
      <c r="WLR60" s="58"/>
      <c r="WLS60" s="58"/>
      <c r="WLT60" s="14"/>
      <c r="WLU60" s="14"/>
      <c r="WLV60" s="14"/>
      <c r="WLW60" s="14"/>
      <c r="WLX60" s="54"/>
      <c r="WLY60" s="54"/>
      <c r="WLZ60" s="54"/>
      <c r="WMA60" s="54"/>
      <c r="WMB60" s="55"/>
      <c r="WMC60" s="55"/>
      <c r="WMD60" s="58"/>
      <c r="WME60" s="58"/>
      <c r="WMF60" s="58"/>
      <c r="WMG60" s="58"/>
      <c r="WMH60" s="58"/>
      <c r="WMI60" s="58"/>
      <c r="WMJ60" s="58"/>
      <c r="WMK60" s="14"/>
      <c r="WML60" s="14"/>
      <c r="WMM60" s="14"/>
      <c r="WMN60" s="14"/>
      <c r="WMO60" s="54"/>
      <c r="WMP60" s="54"/>
      <c r="WMQ60" s="54"/>
      <c r="WMR60" s="54"/>
      <c r="WMS60" s="55"/>
      <c r="WMT60" s="55"/>
      <c r="WMU60" s="58"/>
      <c r="WMV60" s="58"/>
      <c r="WMW60" s="58"/>
      <c r="WMX60" s="58"/>
      <c r="WMY60" s="58"/>
      <c r="WMZ60" s="58"/>
      <c r="WNA60" s="58"/>
      <c r="WNB60" s="14"/>
      <c r="WNC60" s="14"/>
      <c r="WND60" s="14"/>
      <c r="WNE60" s="14"/>
      <c r="WNF60" s="54"/>
      <c r="WNG60" s="54"/>
      <c r="WNH60" s="54"/>
      <c r="WNI60" s="54"/>
      <c r="WNJ60" s="55"/>
      <c r="WNK60" s="55"/>
      <c r="WNL60" s="58"/>
      <c r="WNM60" s="58"/>
      <c r="WNN60" s="58"/>
      <c r="WNO60" s="58"/>
      <c r="WNP60" s="58"/>
      <c r="WNQ60" s="58"/>
      <c r="WNR60" s="58"/>
      <c r="WNS60" s="14"/>
      <c r="WNT60" s="14"/>
      <c r="WNU60" s="14"/>
      <c r="WNV60" s="14"/>
      <c r="WNW60" s="54"/>
      <c r="WNX60" s="54"/>
      <c r="WNY60" s="54"/>
      <c r="WNZ60" s="54"/>
      <c r="WOA60" s="55"/>
      <c r="WOB60" s="55"/>
      <c r="WOC60" s="58"/>
      <c r="WOD60" s="58"/>
      <c r="WOE60" s="58"/>
      <c r="WOF60" s="58"/>
      <c r="WOG60" s="58"/>
      <c r="WOH60" s="58"/>
      <c r="WOI60" s="58"/>
      <c r="WOJ60" s="14"/>
      <c r="WOK60" s="14"/>
      <c r="WOL60" s="14"/>
      <c r="WOM60" s="14"/>
      <c r="WON60" s="54"/>
      <c r="WOO60" s="54"/>
      <c r="WOP60" s="54"/>
      <c r="WOQ60" s="54"/>
      <c r="WOR60" s="55"/>
      <c r="WOS60" s="55"/>
      <c r="WOT60" s="58"/>
      <c r="WOU60" s="58"/>
      <c r="WOV60" s="58"/>
      <c r="WOW60" s="58"/>
      <c r="WOX60" s="58"/>
      <c r="WOY60" s="58"/>
      <c r="WOZ60" s="58"/>
      <c r="WPA60" s="14"/>
      <c r="WPB60" s="14"/>
      <c r="WPC60" s="14"/>
      <c r="WPD60" s="14"/>
      <c r="WPE60" s="54"/>
      <c r="WPF60" s="54"/>
      <c r="WPG60" s="54"/>
      <c r="WPH60" s="54"/>
      <c r="WPI60" s="55"/>
      <c r="WPJ60" s="55"/>
      <c r="WPK60" s="58"/>
      <c r="WPL60" s="58"/>
      <c r="WPM60" s="58"/>
      <c r="WPN60" s="58"/>
      <c r="WPO60" s="58"/>
      <c r="WPP60" s="58"/>
      <c r="WPQ60" s="58"/>
      <c r="WPR60" s="14"/>
      <c r="WPS60" s="14"/>
      <c r="WPT60" s="14"/>
      <c r="WPU60" s="14"/>
      <c r="WPV60" s="54"/>
      <c r="WPW60" s="54"/>
      <c r="WPX60" s="54"/>
      <c r="WPY60" s="54"/>
      <c r="WPZ60" s="55"/>
      <c r="WQA60" s="55"/>
      <c r="WQB60" s="58"/>
      <c r="WQC60" s="58"/>
      <c r="WQD60" s="58"/>
      <c r="WQE60" s="58"/>
      <c r="WQF60" s="58"/>
      <c r="WQG60" s="58"/>
      <c r="WQH60" s="58"/>
      <c r="WQI60" s="14"/>
      <c r="WQJ60" s="14"/>
      <c r="WQK60" s="14"/>
      <c r="WQL60" s="14"/>
      <c r="WQM60" s="54"/>
      <c r="WQN60" s="54"/>
      <c r="WQO60" s="54"/>
      <c r="WQP60" s="54"/>
      <c r="WQQ60" s="55"/>
      <c r="WQR60" s="55"/>
      <c r="WQS60" s="58"/>
      <c r="WQT60" s="58"/>
      <c r="WQU60" s="58"/>
      <c r="WQV60" s="58"/>
      <c r="WQW60" s="58"/>
      <c r="WQX60" s="58"/>
      <c r="WQY60" s="58"/>
      <c r="WQZ60" s="14"/>
      <c r="WRA60" s="14"/>
      <c r="WRB60" s="14"/>
      <c r="WRC60" s="14"/>
      <c r="WRD60" s="54"/>
      <c r="WRE60" s="54"/>
      <c r="WRF60" s="54"/>
      <c r="WRG60" s="54"/>
      <c r="WRH60" s="55"/>
      <c r="WRI60" s="55"/>
      <c r="WRJ60" s="58"/>
      <c r="WRK60" s="58"/>
      <c r="WRL60" s="58"/>
      <c r="WRM60" s="58"/>
      <c r="WRN60" s="58"/>
      <c r="WRO60" s="58"/>
      <c r="WRP60" s="58"/>
      <c r="WRQ60" s="14"/>
      <c r="WRR60" s="14"/>
      <c r="WRS60" s="14"/>
      <c r="WRT60" s="14"/>
      <c r="WRU60" s="54"/>
      <c r="WRV60" s="54"/>
      <c r="WRW60" s="54"/>
      <c r="WRX60" s="54"/>
      <c r="WRY60" s="55"/>
      <c r="WRZ60" s="55"/>
      <c r="WSA60" s="58"/>
      <c r="WSB60" s="58"/>
      <c r="WSC60" s="58"/>
      <c r="WSD60" s="58"/>
      <c r="WSE60" s="58"/>
      <c r="WSF60" s="58"/>
      <c r="WSG60" s="58"/>
      <c r="WSH60" s="14"/>
      <c r="WSI60" s="14"/>
      <c r="WSJ60" s="14"/>
      <c r="WSK60" s="14"/>
      <c r="WSL60" s="54"/>
      <c r="WSM60" s="54"/>
      <c r="WSN60" s="54"/>
      <c r="WSO60" s="54"/>
      <c r="WSP60" s="55"/>
      <c r="WSQ60" s="55"/>
      <c r="WSR60" s="58"/>
      <c r="WSS60" s="58"/>
      <c r="WST60" s="58"/>
      <c r="WSU60" s="58"/>
      <c r="WSV60" s="58"/>
      <c r="WSW60" s="58"/>
      <c r="WSX60" s="58"/>
      <c r="WSY60" s="14"/>
      <c r="WSZ60" s="14"/>
      <c r="WTA60" s="14"/>
      <c r="WTB60" s="14"/>
      <c r="WTC60" s="54"/>
      <c r="WTD60" s="54"/>
      <c r="WTE60" s="54"/>
      <c r="WTF60" s="54"/>
      <c r="WTG60" s="55"/>
      <c r="WTH60" s="55"/>
      <c r="WTI60" s="58"/>
      <c r="WTJ60" s="58"/>
      <c r="WTK60" s="58"/>
      <c r="WTL60" s="58"/>
      <c r="WTM60" s="58"/>
      <c r="WTN60" s="58"/>
      <c r="WTO60" s="58"/>
      <c r="WTP60" s="14"/>
      <c r="WTQ60" s="14"/>
      <c r="WTR60" s="14"/>
      <c r="WTS60" s="14"/>
      <c r="WTT60" s="54"/>
      <c r="WTU60" s="54"/>
      <c r="WTV60" s="54"/>
      <c r="WTW60" s="54"/>
      <c r="WTX60" s="55"/>
      <c r="WTY60" s="55"/>
      <c r="WTZ60" s="58"/>
      <c r="WUA60" s="58"/>
      <c r="WUB60" s="58"/>
      <c r="WUC60" s="58"/>
      <c r="WUD60" s="58"/>
      <c r="WUE60" s="58"/>
      <c r="WUF60" s="58"/>
      <c r="WUG60" s="14"/>
      <c r="WUH60" s="14"/>
      <c r="WUI60" s="14"/>
      <c r="WUJ60" s="14"/>
      <c r="WUK60" s="54"/>
      <c r="WUL60" s="54"/>
      <c r="WUM60" s="54"/>
      <c r="WUN60" s="54"/>
      <c r="WUO60" s="55"/>
      <c r="WUP60" s="55"/>
      <c r="WUQ60" s="58"/>
      <c r="WUR60" s="58"/>
      <c r="WUS60" s="58"/>
      <c r="WUT60" s="58"/>
      <c r="WUU60" s="58"/>
      <c r="WUV60" s="58"/>
      <c r="WUW60" s="58"/>
      <c r="WUX60" s="14"/>
      <c r="WUY60" s="14"/>
      <c r="WUZ60" s="14"/>
      <c r="WVA60" s="14"/>
      <c r="WVB60" s="54"/>
      <c r="WVC60" s="54"/>
      <c r="WVD60" s="54"/>
      <c r="WVE60" s="54"/>
      <c r="WVF60" s="55"/>
      <c r="WVG60" s="55"/>
      <c r="WVH60" s="58"/>
      <c r="WVI60" s="58"/>
      <c r="WVJ60" s="58"/>
      <c r="WVK60" s="58"/>
      <c r="WVL60" s="58"/>
      <c r="WVM60" s="58"/>
      <c r="WVN60" s="58"/>
      <c r="WVO60" s="14"/>
      <c r="WVP60" s="14"/>
      <c r="WVQ60" s="14"/>
      <c r="WVR60" s="14"/>
      <c r="WVS60" s="54"/>
      <c r="WVT60" s="54"/>
      <c r="WVU60" s="54"/>
      <c r="WVV60" s="54"/>
      <c r="WVW60" s="55"/>
      <c r="WVX60" s="55"/>
      <c r="WVY60" s="58"/>
      <c r="WVZ60" s="58"/>
      <c r="WWA60" s="58"/>
      <c r="WWB60" s="58"/>
      <c r="WWC60" s="58"/>
      <c r="WWD60" s="58"/>
      <c r="WWE60" s="58"/>
      <c r="WWF60" s="14"/>
      <c r="WWG60" s="14"/>
      <c r="WWH60" s="14"/>
      <c r="WWI60" s="14"/>
      <c r="WWJ60" s="54"/>
      <c r="WWK60" s="54"/>
      <c r="WWL60" s="54"/>
      <c r="WWM60" s="54"/>
      <c r="WWN60" s="55"/>
      <c r="WWO60" s="55"/>
      <c r="WWP60" s="58"/>
      <c r="WWQ60" s="58"/>
      <c r="WWR60" s="58"/>
      <c r="WWS60" s="58"/>
      <c r="WWT60" s="58"/>
      <c r="WWU60" s="58"/>
      <c r="WWV60" s="58"/>
      <c r="WWW60" s="14"/>
      <c r="WWX60" s="14"/>
      <c r="WWY60" s="14"/>
      <c r="WWZ60" s="14"/>
      <c r="WXA60" s="54"/>
      <c r="WXB60" s="54"/>
      <c r="WXC60" s="54"/>
      <c r="WXD60" s="54"/>
      <c r="WXE60" s="55"/>
      <c r="WXF60" s="55"/>
      <c r="WXG60" s="58"/>
      <c r="WXH60" s="58"/>
      <c r="WXI60" s="58"/>
      <c r="WXJ60" s="58"/>
      <c r="WXK60" s="58"/>
      <c r="WXL60" s="58"/>
      <c r="WXM60" s="58"/>
      <c r="WXN60" s="14"/>
      <c r="WXO60" s="14"/>
      <c r="WXP60" s="14"/>
      <c r="WXQ60" s="14"/>
      <c r="WXR60" s="54"/>
      <c r="WXS60" s="54"/>
      <c r="WXT60" s="54"/>
      <c r="WXU60" s="54"/>
      <c r="WXV60" s="55"/>
      <c r="WXW60" s="55"/>
      <c r="WXX60" s="58"/>
      <c r="WXY60" s="58"/>
      <c r="WXZ60" s="58"/>
      <c r="WYA60" s="58"/>
      <c r="WYB60" s="58"/>
      <c r="WYC60" s="58"/>
      <c r="WYD60" s="58"/>
      <c r="WYE60" s="14"/>
      <c r="WYF60" s="14"/>
      <c r="WYG60" s="14"/>
      <c r="WYH60" s="14"/>
      <c r="WYI60" s="54"/>
      <c r="WYJ60" s="54"/>
      <c r="WYK60" s="54"/>
      <c r="WYL60" s="54"/>
      <c r="WYM60" s="55"/>
      <c r="WYN60" s="55"/>
      <c r="WYO60" s="58"/>
      <c r="WYP60" s="58"/>
      <c r="WYQ60" s="58"/>
      <c r="WYR60" s="58"/>
      <c r="WYS60" s="58"/>
      <c r="WYT60" s="58"/>
      <c r="WYU60" s="58"/>
      <c r="WYV60" s="14"/>
      <c r="WYW60" s="14"/>
      <c r="WYX60" s="14"/>
      <c r="WYY60" s="14"/>
      <c r="WYZ60" s="54"/>
      <c r="WZA60" s="54"/>
      <c r="WZB60" s="54"/>
      <c r="WZC60" s="54"/>
      <c r="WZD60" s="55"/>
      <c r="WZE60" s="55"/>
      <c r="WZF60" s="58"/>
      <c r="WZG60" s="58"/>
      <c r="WZH60" s="58"/>
      <c r="WZI60" s="58"/>
      <c r="WZJ60" s="58"/>
      <c r="WZK60" s="58"/>
      <c r="WZL60" s="58"/>
      <c r="WZM60" s="14"/>
      <c r="WZN60" s="14"/>
      <c r="WZO60" s="14"/>
      <c r="WZP60" s="14"/>
      <c r="WZQ60" s="54"/>
      <c r="WZR60" s="54"/>
      <c r="WZS60" s="54"/>
      <c r="WZT60" s="54"/>
      <c r="WZU60" s="55"/>
      <c r="WZV60" s="55"/>
      <c r="WZW60" s="58"/>
      <c r="WZX60" s="58"/>
      <c r="WZY60" s="58"/>
      <c r="WZZ60" s="58"/>
      <c r="XAA60" s="58"/>
      <c r="XAB60" s="58"/>
      <c r="XAC60" s="58"/>
      <c r="XAD60" s="14"/>
      <c r="XAE60" s="14"/>
      <c r="XAF60" s="14"/>
      <c r="XAG60" s="14"/>
      <c r="XAH60" s="54"/>
      <c r="XAI60" s="54"/>
      <c r="XAJ60" s="54"/>
      <c r="XAK60" s="54"/>
      <c r="XAL60" s="55"/>
      <c r="XAM60" s="55"/>
      <c r="XAN60" s="58"/>
      <c r="XAO60" s="58"/>
      <c r="XAP60" s="58"/>
      <c r="XAQ60" s="58"/>
      <c r="XAR60" s="58"/>
      <c r="XAS60" s="58"/>
      <c r="XAT60" s="58"/>
      <c r="XAU60" s="14"/>
      <c r="XAV60" s="14"/>
      <c r="XAW60" s="14"/>
      <c r="XAX60" s="14"/>
      <c r="XAY60" s="54"/>
      <c r="XAZ60" s="54"/>
      <c r="XBA60" s="54"/>
      <c r="XBB60" s="54"/>
      <c r="XBC60" s="55"/>
      <c r="XBD60" s="55"/>
      <c r="XBE60" s="58"/>
      <c r="XBF60" s="58"/>
      <c r="XBG60" s="58"/>
      <c r="XBH60" s="58"/>
      <c r="XBI60" s="58"/>
      <c r="XBJ60" s="58"/>
      <c r="XBK60" s="58"/>
      <c r="XBL60" s="14"/>
      <c r="XBM60" s="14"/>
      <c r="XBN60" s="14"/>
      <c r="XBO60" s="14"/>
      <c r="XBP60" s="54"/>
      <c r="XBQ60" s="54"/>
      <c r="XBR60" s="54"/>
      <c r="XBS60" s="54"/>
      <c r="XBT60" s="55"/>
      <c r="XBU60" s="55"/>
      <c r="XBV60" s="58"/>
      <c r="XBW60" s="58"/>
      <c r="XBX60" s="58"/>
      <c r="XBY60" s="58"/>
      <c r="XBZ60" s="58"/>
      <c r="XCA60" s="58"/>
      <c r="XCB60" s="58"/>
      <c r="XCC60" s="14"/>
      <c r="XCD60" s="14"/>
      <c r="XCE60" s="14"/>
      <c r="XCF60" s="14"/>
      <c r="XCG60" s="54"/>
      <c r="XCH60" s="54"/>
      <c r="XCI60" s="54"/>
      <c r="XCJ60" s="54"/>
      <c r="XCK60" s="55"/>
      <c r="XCL60" s="55"/>
      <c r="XCM60" s="58"/>
      <c r="XCN60" s="58"/>
      <c r="XCO60" s="58"/>
      <c r="XCP60" s="58"/>
      <c r="XCQ60" s="58"/>
      <c r="XCR60" s="58"/>
      <c r="XCS60" s="58"/>
      <c r="XCT60" s="14"/>
      <c r="XCU60" s="14"/>
      <c r="XCV60" s="14"/>
      <c r="XCW60" s="14"/>
      <c r="XCX60" s="54"/>
      <c r="XCY60" s="54"/>
      <c r="XCZ60" s="54"/>
      <c r="XDA60" s="54"/>
      <c r="XDB60" s="55"/>
      <c r="XDC60" s="55"/>
      <c r="XDD60" s="58"/>
      <c r="XDE60" s="58"/>
      <c r="XDF60" s="58"/>
      <c r="XDG60" s="58"/>
      <c r="XDH60" s="58"/>
      <c r="XDI60" s="58"/>
      <c r="XDJ60" s="58"/>
      <c r="XDK60" s="14"/>
      <c r="XDL60" s="14"/>
      <c r="XDM60" s="14"/>
      <c r="XDN60" s="14"/>
      <c r="XDO60" s="54"/>
      <c r="XDP60" s="54"/>
      <c r="XDQ60" s="54"/>
      <c r="XDR60" s="54"/>
      <c r="XDS60" s="55"/>
      <c r="XDT60" s="55"/>
      <c r="XDU60" s="58"/>
      <c r="XDV60" s="58"/>
      <c r="XDW60" s="58"/>
      <c r="XDX60" s="58"/>
      <c r="XDY60" s="58"/>
      <c r="XDZ60" s="58"/>
      <c r="XEA60" s="58"/>
      <c r="XEB60" s="14"/>
      <c r="XEC60" s="14"/>
      <c r="XED60" s="14"/>
      <c r="XEE60" s="14"/>
      <c r="XEF60" s="54"/>
      <c r="XEG60" s="54"/>
      <c r="XEH60" s="54"/>
      <c r="XEI60" s="54"/>
      <c r="XEJ60" s="55"/>
      <c r="XEK60" s="55"/>
      <c r="XEL60" s="58"/>
      <c r="XEM60" s="58"/>
      <c r="XEN60" s="58"/>
      <c r="XEO60" s="58"/>
      <c r="XEP60" s="58"/>
      <c r="XEQ60" s="58"/>
      <c r="XER60" s="58"/>
      <c r="XES60" s="14"/>
      <c r="XET60" s="14"/>
      <c r="XEU60" s="14"/>
      <c r="XEV60" s="14"/>
      <c r="XEW60" s="54"/>
      <c r="XEX60" s="54"/>
      <c r="XEY60" s="54"/>
      <c r="XEZ60" s="54"/>
      <c r="XFA60" s="55"/>
      <c r="XFB60" s="55"/>
      <c r="XFC60" s="58"/>
      <c r="XFD60" s="58"/>
    </row>
    <row r="61" spans="1:16384" s="14" customFormat="1" x14ac:dyDescent="0.3">
      <c r="A61" s="49"/>
      <c r="B61" s="49"/>
      <c r="C61" s="49"/>
      <c r="D61" s="50"/>
      <c r="E61" s="50"/>
      <c r="F61" s="50"/>
      <c r="G61" s="50"/>
      <c r="H61" s="50"/>
      <c r="I61" s="46"/>
      <c r="J61" s="46"/>
      <c r="K61" s="46"/>
      <c r="L61" s="76"/>
      <c r="M61" s="66"/>
      <c r="N61" s="53"/>
      <c r="O61" s="53"/>
      <c r="P61" s="53"/>
      <c r="Q61" s="53"/>
      <c r="R61" s="53"/>
      <c r="S61" s="53"/>
      <c r="T61" s="65"/>
      <c r="U61" s="1"/>
    </row>
    <row r="62" spans="1:16384" s="14" customFormat="1" x14ac:dyDescent="0.3">
      <c r="A62" s="111"/>
      <c r="B62" s="67"/>
      <c r="C62" s="49"/>
      <c r="D62" s="50"/>
      <c r="E62" s="50"/>
      <c r="F62" s="50"/>
      <c r="G62" s="50"/>
      <c r="H62" s="50"/>
      <c r="I62" s="46"/>
      <c r="J62" s="46"/>
      <c r="K62" s="46"/>
      <c r="L62" s="76"/>
      <c r="M62" s="66"/>
      <c r="N62" s="53"/>
      <c r="O62" s="53"/>
      <c r="P62" s="53"/>
      <c r="Q62" s="53"/>
      <c r="R62" s="53"/>
      <c r="S62" s="53"/>
      <c r="T62" s="65"/>
      <c r="U62" s="1"/>
    </row>
    <row r="63" spans="1:16384" s="14" customFormat="1" x14ac:dyDescent="0.3">
      <c r="A63" s="49"/>
      <c r="B63" s="49"/>
      <c r="C63" s="49"/>
      <c r="D63" s="50"/>
      <c r="E63" s="50"/>
      <c r="F63" s="50"/>
      <c r="G63" s="50"/>
      <c r="H63" s="50"/>
      <c r="I63" s="46"/>
      <c r="J63" s="46"/>
      <c r="K63" s="46"/>
      <c r="L63" s="76"/>
      <c r="M63" s="66"/>
      <c r="N63" s="53"/>
      <c r="O63" s="53"/>
      <c r="P63" s="53"/>
      <c r="Q63" s="53"/>
      <c r="R63" s="53"/>
      <c r="S63" s="53"/>
      <c r="T63" s="65"/>
      <c r="U63" s="1"/>
    </row>
    <row r="64" spans="1:16384" s="14" customFormat="1" x14ac:dyDescent="0.3">
      <c r="A64" s="110"/>
      <c r="B64" s="49"/>
      <c r="C64" s="49"/>
      <c r="D64" s="50"/>
      <c r="E64" s="50"/>
      <c r="F64" s="50"/>
      <c r="G64" s="50"/>
      <c r="H64" s="50"/>
      <c r="I64" s="46"/>
      <c r="J64" s="46"/>
      <c r="K64" s="46"/>
      <c r="L64" s="76"/>
      <c r="M64" s="66"/>
      <c r="N64" s="53"/>
      <c r="O64" s="53"/>
      <c r="P64" s="53"/>
      <c r="Q64" s="53"/>
      <c r="R64" s="53"/>
      <c r="S64" s="53"/>
      <c r="T64" s="65"/>
      <c r="U64" s="1"/>
    </row>
    <row r="65" spans="1:21" s="14" customFormat="1" x14ac:dyDescent="0.3">
      <c r="A65" s="49"/>
      <c r="B65" s="49"/>
      <c r="C65" s="49"/>
      <c r="D65" s="50"/>
      <c r="E65" s="50"/>
      <c r="F65" s="50"/>
      <c r="G65" s="50"/>
      <c r="H65" s="50"/>
      <c r="I65" s="46"/>
      <c r="J65" s="46"/>
      <c r="K65" s="46"/>
      <c r="L65" s="76"/>
      <c r="M65" s="66"/>
      <c r="N65" s="53"/>
      <c r="O65" s="53"/>
      <c r="P65" s="53"/>
      <c r="Q65" s="53"/>
      <c r="R65" s="53"/>
      <c r="S65" s="53"/>
      <c r="T65" s="65"/>
      <c r="U65" s="1"/>
    </row>
    <row r="66" spans="1:21" s="14" customFormat="1" x14ac:dyDescent="0.3">
      <c r="A66" s="111"/>
      <c r="B66" s="67"/>
      <c r="C66" s="49"/>
      <c r="D66" s="50"/>
      <c r="E66" s="50"/>
      <c r="F66" s="50"/>
      <c r="G66" s="50"/>
      <c r="H66" s="50"/>
      <c r="I66" s="46"/>
      <c r="J66" s="46"/>
      <c r="K66" s="46"/>
      <c r="L66" s="76"/>
      <c r="M66" s="66"/>
      <c r="N66" s="53"/>
      <c r="O66" s="53"/>
      <c r="P66" s="53"/>
      <c r="Q66" s="53"/>
      <c r="R66" s="53"/>
      <c r="S66" s="53"/>
      <c r="T66" s="65"/>
      <c r="U66" s="1"/>
    </row>
    <row r="67" spans="1:21" s="14" customFormat="1" x14ac:dyDescent="0.3">
      <c r="A67" s="49"/>
      <c r="B67" s="49"/>
      <c r="C67" s="49"/>
      <c r="D67" s="50"/>
      <c r="E67" s="50"/>
      <c r="F67" s="50"/>
      <c r="G67" s="50"/>
      <c r="H67" s="50"/>
      <c r="I67" s="46"/>
      <c r="J67" s="46"/>
      <c r="K67" s="46"/>
      <c r="L67" s="76"/>
      <c r="M67" s="66"/>
      <c r="N67" s="53"/>
      <c r="O67" s="53"/>
      <c r="P67" s="53"/>
      <c r="Q67" s="53"/>
      <c r="R67" s="53"/>
      <c r="S67" s="53"/>
      <c r="T67" s="65"/>
      <c r="U67" s="1"/>
    </row>
    <row r="68" spans="1:21" s="14" customFormat="1" x14ac:dyDescent="0.3">
      <c r="A68" s="110"/>
      <c r="B68" s="49"/>
      <c r="C68" s="49"/>
      <c r="D68" s="50"/>
      <c r="E68" s="50"/>
      <c r="F68" s="50"/>
      <c r="G68" s="50"/>
      <c r="H68" s="50"/>
      <c r="I68" s="46"/>
      <c r="J68" s="46"/>
      <c r="K68" s="46"/>
      <c r="L68" s="76"/>
      <c r="M68" s="66"/>
      <c r="N68" s="53"/>
      <c r="O68" s="53"/>
      <c r="P68" s="53"/>
      <c r="Q68" s="53"/>
      <c r="R68" s="53"/>
      <c r="S68" s="53"/>
      <c r="T68" s="65"/>
      <c r="U68" s="1"/>
    </row>
    <row r="69" spans="1:21" s="14" customFormat="1" x14ac:dyDescent="0.3">
      <c r="A69" s="49"/>
      <c r="B69" s="49"/>
      <c r="C69" s="49"/>
      <c r="D69" s="50"/>
      <c r="E69" s="50"/>
      <c r="F69" s="50"/>
      <c r="G69" s="50"/>
      <c r="H69" s="50"/>
      <c r="I69" s="46"/>
      <c r="J69" s="46"/>
      <c r="K69" s="46"/>
      <c r="L69" s="76"/>
      <c r="M69" s="66"/>
      <c r="N69" s="53"/>
      <c r="O69" s="53"/>
      <c r="P69" s="53"/>
      <c r="Q69" s="53"/>
      <c r="R69" s="53"/>
      <c r="S69" s="53"/>
      <c r="T69" s="65"/>
      <c r="U69" s="1"/>
    </row>
    <row r="70" spans="1:21" s="14" customFormat="1" x14ac:dyDescent="0.3">
      <c r="A70" s="110"/>
      <c r="B70" s="49"/>
      <c r="C70" s="49"/>
      <c r="D70" s="50"/>
      <c r="E70" s="50"/>
      <c r="F70" s="50"/>
      <c r="G70" s="50"/>
      <c r="H70" s="50"/>
      <c r="I70" s="46"/>
      <c r="J70" s="46"/>
      <c r="K70" s="46"/>
      <c r="L70" s="76"/>
      <c r="M70" s="66"/>
      <c r="N70" s="53"/>
      <c r="O70" s="53"/>
      <c r="P70" s="53"/>
      <c r="Q70" s="53"/>
      <c r="R70" s="53"/>
      <c r="S70" s="53"/>
      <c r="T70" s="65"/>
      <c r="U70" s="1"/>
    </row>
    <row r="71" spans="1:21" s="14" customFormat="1" x14ac:dyDescent="0.3">
      <c r="A71" s="67"/>
      <c r="B71" s="67"/>
      <c r="C71" s="49"/>
      <c r="D71" s="50"/>
      <c r="E71" s="50"/>
      <c r="F71" s="50"/>
      <c r="G71" s="50"/>
      <c r="H71" s="50"/>
      <c r="I71" s="46"/>
      <c r="J71" s="46"/>
      <c r="K71" s="46"/>
      <c r="L71" s="76"/>
      <c r="M71" s="66"/>
      <c r="N71" s="53"/>
      <c r="O71" s="53"/>
      <c r="P71" s="53"/>
      <c r="Q71" s="53"/>
      <c r="R71" s="53"/>
      <c r="S71" s="53"/>
      <c r="T71" s="65"/>
      <c r="U71" s="1"/>
    </row>
    <row r="72" spans="1:21" s="14" customFormat="1" x14ac:dyDescent="0.3">
      <c r="A72" s="110"/>
      <c r="B72" s="49"/>
      <c r="C72" s="49"/>
      <c r="D72" s="50"/>
      <c r="E72" s="50"/>
      <c r="F72" s="50"/>
      <c r="G72" s="50"/>
      <c r="H72" s="50"/>
      <c r="I72" s="46"/>
      <c r="J72" s="46"/>
      <c r="K72" s="46"/>
      <c r="L72" s="76"/>
      <c r="M72" s="66"/>
      <c r="N72" s="53"/>
      <c r="O72" s="53"/>
      <c r="P72" s="53"/>
      <c r="Q72" s="53"/>
      <c r="R72" s="53"/>
      <c r="S72" s="53"/>
      <c r="T72" s="65"/>
      <c r="U72" s="1"/>
    </row>
    <row r="73" spans="1:21" s="14" customFormat="1" x14ac:dyDescent="0.3">
      <c r="A73" s="67"/>
      <c r="B73" s="67"/>
      <c r="C73" s="49"/>
      <c r="D73" s="50"/>
      <c r="E73" s="50"/>
      <c r="F73" s="50"/>
      <c r="G73" s="50"/>
      <c r="H73" s="50"/>
      <c r="I73" s="46"/>
      <c r="J73" s="46"/>
      <c r="K73" s="46"/>
      <c r="L73" s="76"/>
      <c r="M73" s="66"/>
      <c r="N73" s="53"/>
      <c r="O73" s="53"/>
      <c r="P73" s="53"/>
      <c r="Q73" s="53"/>
      <c r="R73" s="53"/>
      <c r="S73" s="53"/>
      <c r="T73" s="65"/>
      <c r="U73" s="1"/>
    </row>
    <row r="74" spans="1:21" s="14" customFormat="1" x14ac:dyDescent="0.3">
      <c r="A74" s="110"/>
      <c r="B74" s="49"/>
      <c r="C74" s="49"/>
      <c r="D74" s="50"/>
      <c r="E74" s="50"/>
      <c r="F74" s="50"/>
      <c r="G74" s="50"/>
      <c r="H74" s="50"/>
      <c r="I74" s="46"/>
      <c r="J74" s="46"/>
      <c r="K74" s="46"/>
      <c r="L74" s="76"/>
      <c r="M74" s="66"/>
      <c r="N74" s="53"/>
      <c r="O74" s="53"/>
      <c r="P74" s="53"/>
      <c r="Q74" s="53"/>
      <c r="R74" s="53"/>
      <c r="S74" s="53"/>
      <c r="T74" s="65"/>
      <c r="U74" s="1"/>
    </row>
    <row r="75" spans="1:21" s="14" customFormat="1" x14ac:dyDescent="0.3">
      <c r="A75" s="49"/>
      <c r="B75" s="49"/>
      <c r="C75" s="49"/>
      <c r="D75" s="50"/>
      <c r="E75" s="50"/>
      <c r="F75" s="50"/>
      <c r="G75" s="50"/>
      <c r="H75" s="50"/>
      <c r="I75" s="46"/>
      <c r="J75" s="46"/>
      <c r="K75" s="46"/>
      <c r="L75" s="76"/>
      <c r="M75" s="66"/>
      <c r="N75" s="53"/>
      <c r="O75" s="53"/>
      <c r="P75" s="53"/>
      <c r="Q75" s="53"/>
      <c r="R75" s="53"/>
      <c r="S75" s="53"/>
      <c r="T75" s="65"/>
      <c r="U75" s="1"/>
    </row>
    <row r="76" spans="1:21" s="14" customFormat="1" x14ac:dyDescent="0.3">
      <c r="A76" s="110"/>
      <c r="B76" s="49"/>
      <c r="C76" s="49"/>
      <c r="D76" s="50"/>
      <c r="E76" s="50"/>
      <c r="F76" s="50"/>
      <c r="G76" s="50"/>
      <c r="H76" s="50"/>
      <c r="I76" s="46"/>
      <c r="J76" s="46"/>
      <c r="K76" s="46"/>
      <c r="L76" s="76"/>
      <c r="M76" s="66"/>
      <c r="N76" s="53"/>
      <c r="O76" s="53"/>
      <c r="P76" s="53"/>
      <c r="Q76" s="53"/>
      <c r="R76" s="53"/>
      <c r="S76" s="53"/>
      <c r="T76" s="65"/>
      <c r="U76" s="1"/>
    </row>
    <row r="77" spans="1:21" s="14" customFormat="1" x14ac:dyDescent="0.3">
      <c r="A77" s="49"/>
      <c r="B77" s="49"/>
      <c r="C77" s="49"/>
      <c r="D77" s="50"/>
      <c r="E77" s="50"/>
      <c r="F77" s="50"/>
      <c r="G77" s="50"/>
      <c r="H77" s="50"/>
      <c r="I77" s="46"/>
      <c r="J77" s="46"/>
      <c r="K77" s="46"/>
      <c r="L77" s="76"/>
      <c r="M77" s="66"/>
      <c r="N77" s="53"/>
      <c r="O77" s="53"/>
      <c r="P77" s="53"/>
      <c r="Q77" s="53"/>
      <c r="R77" s="53"/>
      <c r="S77" s="53"/>
      <c r="T77" s="65"/>
      <c r="U77" s="1"/>
    </row>
    <row r="78" spans="1:21" s="14" customFormat="1" x14ac:dyDescent="0.3">
      <c r="A78" s="111"/>
      <c r="B78" s="67"/>
      <c r="C78" s="49"/>
      <c r="D78" s="50"/>
      <c r="E78" s="50"/>
      <c r="F78" s="50"/>
      <c r="G78" s="50"/>
      <c r="H78" s="50"/>
      <c r="I78" s="46"/>
      <c r="J78" s="46"/>
      <c r="K78" s="46"/>
      <c r="L78" s="76"/>
      <c r="M78" s="66"/>
      <c r="N78" s="53"/>
      <c r="O78" s="53"/>
      <c r="P78" s="53"/>
      <c r="Q78" s="53"/>
      <c r="R78" s="53"/>
      <c r="S78" s="53"/>
      <c r="T78" s="65"/>
      <c r="U78" s="1"/>
    </row>
    <row r="79" spans="1:21" s="14" customFormat="1" x14ac:dyDescent="0.3">
      <c r="A79" s="49"/>
      <c r="B79" s="49"/>
      <c r="C79" s="49"/>
      <c r="D79" s="50"/>
      <c r="E79" s="50"/>
      <c r="F79" s="50"/>
      <c r="G79" s="50"/>
      <c r="H79" s="50"/>
      <c r="I79" s="46"/>
      <c r="J79" s="46"/>
      <c r="K79" s="46"/>
      <c r="L79" s="76"/>
      <c r="M79" s="66"/>
      <c r="N79" s="53"/>
      <c r="O79" s="53"/>
      <c r="P79" s="53"/>
      <c r="Q79" s="53"/>
      <c r="R79" s="53"/>
      <c r="S79" s="53"/>
      <c r="T79" s="65"/>
      <c r="U79" s="1"/>
    </row>
    <row r="80" spans="1:21" s="14" customFormat="1" x14ac:dyDescent="0.3">
      <c r="A80" s="110"/>
      <c r="B80" s="49"/>
      <c r="C80" s="49"/>
      <c r="D80" s="50"/>
      <c r="E80" s="50"/>
      <c r="F80" s="50"/>
      <c r="G80" s="50"/>
      <c r="H80" s="50"/>
      <c r="I80" s="46"/>
      <c r="J80" s="46"/>
      <c r="K80" s="46"/>
      <c r="L80" s="76"/>
      <c r="M80" s="66"/>
      <c r="N80" s="46"/>
      <c r="O80" s="46"/>
      <c r="P80" s="46"/>
      <c r="Q80" s="46"/>
      <c r="R80" s="46"/>
      <c r="S80" s="46"/>
      <c r="T80" s="65"/>
      <c r="U80" s="1"/>
    </row>
    <row r="81" spans="1:21" s="14" customFormat="1" x14ac:dyDescent="0.3">
      <c r="A81" s="49"/>
      <c r="B81" s="49"/>
      <c r="C81" s="49"/>
      <c r="D81" s="50"/>
      <c r="E81" s="50"/>
      <c r="F81" s="50"/>
      <c r="G81" s="50"/>
      <c r="H81" s="50"/>
      <c r="I81" s="46"/>
      <c r="J81" s="46"/>
      <c r="K81" s="46"/>
      <c r="L81" s="76"/>
      <c r="M81" s="66"/>
      <c r="N81" s="46"/>
      <c r="O81" s="46"/>
      <c r="P81" s="46"/>
      <c r="Q81" s="46"/>
      <c r="R81" s="46"/>
      <c r="S81" s="46"/>
      <c r="T81" s="65"/>
      <c r="U81" s="1"/>
    </row>
    <row r="82" spans="1:21" s="14" customFormat="1" x14ac:dyDescent="0.3">
      <c r="A82" s="111"/>
      <c r="B82" s="67"/>
      <c r="C82" s="49"/>
      <c r="D82" s="50"/>
      <c r="E82" s="49"/>
      <c r="F82" s="50"/>
      <c r="G82" s="50"/>
      <c r="H82" s="50"/>
      <c r="I82" s="46"/>
      <c r="J82" s="46"/>
      <c r="K82" s="46"/>
      <c r="L82" s="76"/>
      <c r="M82" s="66"/>
      <c r="N82" s="46"/>
      <c r="O82" s="46"/>
      <c r="P82" s="46"/>
      <c r="Q82" s="46"/>
      <c r="R82" s="46"/>
      <c r="S82" s="46"/>
      <c r="T82" s="65"/>
      <c r="U82" s="1"/>
    </row>
    <row r="83" spans="1:21" s="14" customFormat="1" x14ac:dyDescent="0.3">
      <c r="A83" s="49"/>
      <c r="B83" s="67"/>
      <c r="C83" s="49"/>
      <c r="D83" s="50"/>
      <c r="E83" s="49"/>
      <c r="F83" s="50"/>
      <c r="G83" s="50"/>
      <c r="H83" s="50"/>
      <c r="I83" s="46"/>
      <c r="J83" s="46"/>
      <c r="K83" s="46"/>
      <c r="L83" s="76"/>
      <c r="M83" s="66"/>
      <c r="N83" s="46"/>
      <c r="O83" s="46"/>
      <c r="P83" s="46"/>
      <c r="Q83" s="46"/>
      <c r="R83" s="46"/>
      <c r="S83" s="46"/>
      <c r="T83" s="65"/>
      <c r="U83" s="1"/>
    </row>
    <row r="84" spans="1:21" s="14" customFormat="1" x14ac:dyDescent="0.3">
      <c r="A84" s="110"/>
      <c r="B84" s="49"/>
      <c r="C84" s="49"/>
      <c r="D84" s="50"/>
      <c r="E84" s="49"/>
      <c r="F84" s="50"/>
      <c r="G84" s="50"/>
      <c r="H84" s="50"/>
      <c r="I84" s="46"/>
      <c r="J84" s="46"/>
      <c r="K84" s="46"/>
      <c r="L84" s="76"/>
      <c r="M84" s="66"/>
      <c r="N84" s="53"/>
      <c r="O84" s="53"/>
      <c r="P84" s="53"/>
      <c r="Q84" s="53"/>
      <c r="R84" s="53"/>
      <c r="S84" s="53"/>
      <c r="T84" s="65"/>
      <c r="U84" s="1"/>
    </row>
    <row r="85" spans="1:21" s="14" customFormat="1" x14ac:dyDescent="0.3">
      <c r="A85" s="49"/>
      <c r="B85" s="49"/>
      <c r="C85" s="49"/>
      <c r="D85" s="50"/>
      <c r="E85" s="50"/>
      <c r="F85" s="50"/>
      <c r="G85" s="50"/>
      <c r="H85" s="50"/>
      <c r="I85" s="46"/>
      <c r="J85" s="46"/>
      <c r="K85" s="46"/>
      <c r="L85" s="76"/>
      <c r="M85" s="66"/>
      <c r="N85" s="53"/>
      <c r="O85" s="53"/>
      <c r="P85" s="53"/>
      <c r="Q85" s="53"/>
      <c r="R85" s="53"/>
      <c r="S85" s="53"/>
      <c r="T85" s="65"/>
      <c r="U85" s="1"/>
    </row>
    <row r="86" spans="1:21" s="14" customFormat="1" x14ac:dyDescent="0.3">
      <c r="A86" s="110"/>
      <c r="B86" s="49"/>
      <c r="C86" s="49"/>
      <c r="D86" s="50"/>
      <c r="E86" s="50"/>
      <c r="F86" s="50"/>
      <c r="G86" s="50"/>
      <c r="H86" s="50"/>
      <c r="I86" s="46"/>
      <c r="J86" s="46"/>
      <c r="K86" s="46"/>
      <c r="L86" s="76"/>
      <c r="M86" s="66"/>
      <c r="N86" s="53"/>
      <c r="O86" s="53"/>
      <c r="P86" s="53"/>
      <c r="Q86" s="53"/>
      <c r="R86" s="53"/>
      <c r="S86" s="53"/>
      <c r="T86" s="65"/>
      <c r="U86" s="1"/>
    </row>
    <row r="87" spans="1:21" s="14" customFormat="1" x14ac:dyDescent="0.3">
      <c r="A87" s="49"/>
      <c r="B87" s="49"/>
      <c r="C87" s="49"/>
      <c r="D87" s="50"/>
      <c r="E87" s="50"/>
      <c r="F87" s="50"/>
      <c r="G87" s="50"/>
      <c r="H87" s="50"/>
      <c r="I87" s="46"/>
      <c r="J87" s="46"/>
      <c r="K87" s="46"/>
      <c r="L87" s="76"/>
      <c r="M87" s="66"/>
      <c r="N87" s="53"/>
      <c r="O87" s="53"/>
      <c r="P87" s="53"/>
      <c r="Q87" s="53"/>
      <c r="R87" s="53"/>
      <c r="S87" s="53"/>
      <c r="T87" s="65"/>
      <c r="U87" s="1"/>
    </row>
    <row r="88" spans="1:21" s="14" customFormat="1" x14ac:dyDescent="0.3">
      <c r="A88" s="111"/>
      <c r="B88" s="67"/>
      <c r="C88" s="49"/>
      <c r="D88" s="50"/>
      <c r="E88" s="50"/>
      <c r="F88" s="50"/>
      <c r="G88" s="50"/>
      <c r="H88" s="50"/>
      <c r="I88" s="46"/>
      <c r="J88" s="46"/>
      <c r="K88" s="46"/>
      <c r="L88" s="76"/>
      <c r="M88" s="64"/>
      <c r="N88" s="53"/>
      <c r="O88" s="53"/>
      <c r="P88" s="53"/>
      <c r="Q88" s="53"/>
      <c r="R88" s="53"/>
      <c r="S88" s="53"/>
      <c r="T88" s="65"/>
      <c r="U88" s="1"/>
    </row>
    <row r="89" spans="1:21" s="14" customFormat="1" x14ac:dyDescent="0.3">
      <c r="A89" s="67"/>
      <c r="B89" s="67"/>
      <c r="C89" s="49"/>
      <c r="D89" s="50"/>
      <c r="E89" s="50"/>
      <c r="F89" s="50"/>
      <c r="G89" s="50"/>
      <c r="H89" s="50"/>
      <c r="I89" s="46"/>
      <c r="J89" s="46"/>
      <c r="K89" s="46"/>
      <c r="L89" s="76"/>
      <c r="M89" s="64"/>
      <c r="N89" s="53"/>
      <c r="O89" s="53"/>
      <c r="P89" s="53"/>
      <c r="Q89" s="53"/>
      <c r="R89" s="53"/>
      <c r="S89" s="53"/>
      <c r="T89" s="65"/>
      <c r="U89" s="1"/>
    </row>
    <row r="90" spans="1:21" s="14" customFormat="1" x14ac:dyDescent="0.3">
      <c r="A90" s="111"/>
      <c r="B90" s="67"/>
      <c r="C90" s="49"/>
      <c r="D90" s="50"/>
      <c r="E90" s="50"/>
      <c r="F90" s="50"/>
      <c r="G90" s="50"/>
      <c r="H90" s="50"/>
      <c r="I90" s="46"/>
      <c r="J90" s="46"/>
      <c r="K90" s="46"/>
      <c r="L90" s="76"/>
      <c r="M90" s="64"/>
      <c r="N90" s="53"/>
      <c r="O90" s="53"/>
      <c r="P90" s="53"/>
      <c r="Q90" s="53"/>
      <c r="R90" s="53"/>
      <c r="S90" s="53"/>
      <c r="T90" s="65"/>
      <c r="U90" s="1"/>
    </row>
    <row r="91" spans="1:21" s="14" customFormat="1" x14ac:dyDescent="0.3">
      <c r="A91" s="49"/>
      <c r="B91" s="49"/>
      <c r="C91" s="49"/>
      <c r="D91" s="50"/>
      <c r="E91" s="50"/>
      <c r="F91" s="50"/>
      <c r="G91" s="50"/>
      <c r="H91" s="50"/>
      <c r="I91" s="46"/>
      <c r="J91" s="46"/>
      <c r="K91" s="46"/>
      <c r="L91" s="76"/>
      <c r="M91" s="66"/>
      <c r="N91" s="53"/>
      <c r="O91" s="53"/>
      <c r="P91" s="53"/>
      <c r="Q91" s="53"/>
      <c r="R91" s="53"/>
      <c r="S91" s="53"/>
      <c r="T91" s="65"/>
      <c r="U91" s="1"/>
    </row>
    <row r="92" spans="1:21" s="14" customFormat="1" x14ac:dyDescent="0.3">
      <c r="A92" s="110"/>
      <c r="B92" s="49"/>
      <c r="C92" s="49"/>
      <c r="D92" s="50"/>
      <c r="E92" s="50"/>
      <c r="F92" s="50"/>
      <c r="G92" s="50"/>
      <c r="H92" s="50"/>
      <c r="I92" s="46"/>
      <c r="J92" s="46"/>
      <c r="K92" s="46"/>
      <c r="L92" s="76"/>
      <c r="M92" s="69"/>
      <c r="N92" s="53"/>
      <c r="O92" s="53"/>
      <c r="P92" s="53"/>
      <c r="Q92" s="53"/>
      <c r="R92" s="53"/>
      <c r="S92" s="53"/>
      <c r="T92" s="65"/>
      <c r="U92" s="1"/>
    </row>
    <row r="93" spans="1:21" s="14" customFormat="1" x14ac:dyDescent="0.3">
      <c r="A93" s="67"/>
      <c r="B93" s="67"/>
      <c r="C93" s="49"/>
      <c r="D93" s="50"/>
      <c r="E93" s="50"/>
      <c r="F93" s="50"/>
      <c r="G93" s="50"/>
      <c r="H93" s="50"/>
      <c r="I93" s="46"/>
      <c r="J93" s="46"/>
      <c r="K93" s="46"/>
      <c r="L93" s="76"/>
      <c r="M93" s="64"/>
      <c r="N93" s="53"/>
      <c r="O93" s="53"/>
      <c r="P93" s="53"/>
      <c r="Q93" s="53"/>
      <c r="R93" s="53"/>
      <c r="S93" s="53"/>
      <c r="T93" s="65"/>
      <c r="U93" s="1"/>
    </row>
    <row r="94" spans="1:21" s="14" customFormat="1" x14ac:dyDescent="0.3">
      <c r="A94" s="110"/>
      <c r="B94" s="49"/>
      <c r="C94" s="49"/>
      <c r="D94" s="50"/>
      <c r="E94" s="50"/>
      <c r="F94" s="50"/>
      <c r="G94" s="50"/>
      <c r="H94" s="50"/>
      <c r="I94" s="46"/>
      <c r="J94" s="46"/>
      <c r="K94" s="46"/>
      <c r="L94" s="76"/>
      <c r="M94" s="66"/>
      <c r="N94" s="53"/>
      <c r="O94" s="53"/>
      <c r="P94" s="53"/>
      <c r="Q94" s="53"/>
      <c r="R94" s="53"/>
      <c r="S94" s="53"/>
      <c r="T94" s="65"/>
      <c r="U94" s="1"/>
    </row>
    <row r="95" spans="1:21" s="14" customFormat="1" x14ac:dyDescent="0.3">
      <c r="A95" s="49"/>
      <c r="B95" s="49"/>
      <c r="C95" s="49"/>
      <c r="D95" s="50"/>
      <c r="E95" s="50"/>
      <c r="F95" s="50"/>
      <c r="G95" s="50"/>
      <c r="H95" s="50"/>
      <c r="I95" s="46"/>
      <c r="J95" s="46"/>
      <c r="K95" s="46"/>
      <c r="L95" s="76"/>
      <c r="M95" s="66"/>
      <c r="N95" s="53"/>
      <c r="O95" s="53"/>
      <c r="P95" s="53"/>
      <c r="Q95" s="53"/>
      <c r="R95" s="53"/>
      <c r="S95" s="53"/>
      <c r="T95" s="65"/>
      <c r="U95" s="1"/>
    </row>
    <row r="96" spans="1:21" s="14" customFormat="1" x14ac:dyDescent="0.3">
      <c r="A96" s="110"/>
      <c r="B96" s="49"/>
      <c r="C96" s="49"/>
      <c r="D96" s="50"/>
      <c r="E96" s="50"/>
      <c r="F96" s="50"/>
      <c r="G96" s="50"/>
      <c r="H96" s="50"/>
      <c r="I96" s="46"/>
      <c r="J96" s="46"/>
      <c r="K96" s="46"/>
      <c r="L96" s="76"/>
      <c r="M96" s="66"/>
      <c r="N96" s="53"/>
      <c r="O96" s="53"/>
      <c r="P96" s="53"/>
      <c r="Q96" s="53"/>
      <c r="R96" s="53"/>
      <c r="S96" s="53"/>
      <c r="T96" s="65"/>
      <c r="U96" s="1"/>
    </row>
    <row r="97" spans="1:21" s="14" customFormat="1" x14ac:dyDescent="0.3">
      <c r="A97" s="67"/>
      <c r="B97" s="67"/>
      <c r="C97" s="49"/>
      <c r="D97" s="50"/>
      <c r="E97" s="50"/>
      <c r="F97" s="50"/>
      <c r="G97" s="50"/>
      <c r="H97" s="50"/>
      <c r="I97" s="46"/>
      <c r="J97" s="46"/>
      <c r="K97" s="46"/>
      <c r="L97" s="76"/>
      <c r="M97" s="66"/>
      <c r="N97" s="53"/>
      <c r="O97" s="53"/>
      <c r="P97" s="53"/>
      <c r="Q97" s="53"/>
      <c r="R97" s="53"/>
      <c r="S97" s="53"/>
      <c r="T97" s="65"/>
      <c r="U97" s="1"/>
    </row>
    <row r="98" spans="1:21" s="14" customFormat="1" x14ac:dyDescent="0.3">
      <c r="A98" s="110"/>
      <c r="B98" s="49"/>
      <c r="C98" s="49"/>
      <c r="D98" s="50"/>
      <c r="E98" s="50"/>
      <c r="F98" s="50"/>
      <c r="G98" s="50"/>
      <c r="H98" s="50"/>
      <c r="I98" s="46"/>
      <c r="J98" s="46"/>
      <c r="K98" s="46"/>
      <c r="L98" s="76"/>
      <c r="M98" s="66"/>
      <c r="N98" s="53"/>
      <c r="O98" s="53"/>
      <c r="P98" s="53"/>
      <c r="Q98" s="53"/>
      <c r="R98" s="53"/>
      <c r="S98" s="53"/>
      <c r="T98" s="65"/>
      <c r="U98" s="1"/>
    </row>
    <row r="99" spans="1:21" s="14" customFormat="1" x14ac:dyDescent="0.3">
      <c r="A99" s="49"/>
      <c r="B99" s="49"/>
      <c r="C99" s="49"/>
      <c r="D99" s="50"/>
      <c r="E99" s="50"/>
      <c r="F99" s="50"/>
      <c r="G99" s="50"/>
      <c r="H99" s="50"/>
      <c r="I99" s="46"/>
      <c r="J99" s="46"/>
      <c r="K99" s="46"/>
      <c r="L99" s="76"/>
      <c r="M99" s="66"/>
      <c r="N99" s="53"/>
      <c r="O99" s="53"/>
      <c r="P99" s="53"/>
      <c r="Q99" s="53"/>
      <c r="R99" s="53"/>
      <c r="S99" s="53"/>
      <c r="T99" s="65"/>
      <c r="U99" s="1"/>
    </row>
    <row r="100" spans="1:21" s="14" customFormat="1" x14ac:dyDescent="0.3">
      <c r="A100" s="110"/>
      <c r="B100" s="49"/>
      <c r="C100" s="49"/>
      <c r="D100" s="50"/>
      <c r="E100" s="50"/>
      <c r="F100" s="50"/>
      <c r="G100" s="50"/>
      <c r="H100" s="50"/>
      <c r="I100" s="46"/>
      <c r="J100" s="46"/>
      <c r="K100" s="46"/>
      <c r="L100" s="76"/>
      <c r="M100" s="66"/>
      <c r="N100" s="53"/>
      <c r="O100" s="53"/>
      <c r="P100" s="53"/>
      <c r="Q100" s="53"/>
      <c r="R100" s="53"/>
      <c r="S100" s="53"/>
      <c r="T100" s="65"/>
      <c r="U100" s="1"/>
    </row>
    <row r="101" spans="1:21" s="14" customFormat="1" x14ac:dyDescent="0.3">
      <c r="A101" s="49"/>
      <c r="B101" s="49"/>
      <c r="C101" s="49"/>
      <c r="D101" s="50"/>
      <c r="E101" s="50"/>
      <c r="F101" s="50"/>
      <c r="G101" s="50"/>
      <c r="H101" s="50"/>
      <c r="I101" s="46"/>
      <c r="J101" s="46"/>
      <c r="K101" s="46"/>
      <c r="L101" s="76"/>
      <c r="M101" s="66"/>
      <c r="N101" s="53"/>
      <c r="O101" s="53"/>
      <c r="P101" s="53"/>
      <c r="Q101" s="53"/>
      <c r="R101" s="53"/>
      <c r="S101" s="53"/>
      <c r="T101" s="65"/>
      <c r="U101" s="1"/>
    </row>
    <row r="102" spans="1:21" s="14" customFormat="1" x14ac:dyDescent="0.3">
      <c r="A102" s="110"/>
      <c r="B102" s="49"/>
      <c r="C102" s="49"/>
      <c r="D102" s="50"/>
      <c r="E102" s="50"/>
      <c r="F102" s="50"/>
      <c r="G102" s="50"/>
      <c r="H102" s="50"/>
      <c r="I102" s="46"/>
      <c r="J102" s="46"/>
      <c r="K102" s="46"/>
      <c r="L102" s="76"/>
      <c r="M102" s="66"/>
      <c r="N102" s="53"/>
      <c r="O102" s="53"/>
      <c r="P102" s="53"/>
      <c r="Q102" s="53"/>
      <c r="R102" s="53"/>
      <c r="S102" s="53"/>
      <c r="T102" s="65"/>
      <c r="U102" s="1"/>
    </row>
    <row r="103" spans="1:21" s="14" customFormat="1" x14ac:dyDescent="0.3">
      <c r="A103" s="67"/>
      <c r="B103" s="67"/>
      <c r="C103" s="49"/>
      <c r="D103" s="50"/>
      <c r="E103" s="50"/>
      <c r="F103" s="50"/>
      <c r="G103" s="50"/>
      <c r="H103" s="50"/>
      <c r="I103" s="46"/>
      <c r="J103" s="46"/>
      <c r="K103" s="46"/>
      <c r="L103" s="76"/>
      <c r="M103" s="66"/>
      <c r="N103" s="53"/>
      <c r="O103" s="53"/>
      <c r="P103" s="53"/>
      <c r="Q103" s="53"/>
      <c r="R103" s="53"/>
      <c r="S103" s="53"/>
      <c r="T103" s="65"/>
      <c r="U103" s="1"/>
    </row>
    <row r="104" spans="1:21" s="14" customFormat="1" x14ac:dyDescent="0.3">
      <c r="A104" s="111"/>
      <c r="B104" s="67"/>
      <c r="C104" s="49"/>
      <c r="D104" s="50"/>
      <c r="E104" s="50"/>
      <c r="F104" s="50"/>
      <c r="G104" s="50"/>
      <c r="H104" s="50"/>
      <c r="I104" s="46"/>
      <c r="J104" s="46"/>
      <c r="K104" s="46"/>
      <c r="L104" s="76"/>
      <c r="M104" s="66"/>
      <c r="N104" s="53"/>
      <c r="O104" s="53"/>
      <c r="P104" s="53"/>
      <c r="Q104" s="53"/>
      <c r="R104" s="53"/>
      <c r="S104" s="53"/>
      <c r="T104" s="65"/>
      <c r="U104" s="1"/>
    </row>
    <row r="105" spans="1:21" s="14" customFormat="1" x14ac:dyDescent="0.3">
      <c r="A105" s="49"/>
      <c r="B105" s="49"/>
      <c r="C105" s="49"/>
      <c r="D105" s="50"/>
      <c r="E105" s="50"/>
      <c r="F105" s="50"/>
      <c r="G105" s="50"/>
      <c r="H105" s="50"/>
      <c r="I105" s="46"/>
      <c r="J105" s="46"/>
      <c r="K105" s="46"/>
      <c r="L105" s="76"/>
      <c r="M105" s="66"/>
      <c r="N105" s="53"/>
      <c r="O105" s="53"/>
      <c r="P105" s="53"/>
      <c r="Q105" s="53"/>
      <c r="R105" s="53"/>
      <c r="S105" s="53"/>
      <c r="T105" s="65"/>
      <c r="U105" s="1"/>
    </row>
    <row r="106" spans="1:21" s="14" customFormat="1" x14ac:dyDescent="0.3">
      <c r="A106" s="110"/>
      <c r="B106" s="67"/>
      <c r="C106" s="49"/>
      <c r="D106" s="50"/>
      <c r="E106" s="50"/>
      <c r="F106" s="50"/>
      <c r="G106" s="50"/>
      <c r="H106" s="50"/>
      <c r="I106" s="46"/>
      <c r="J106" s="46"/>
      <c r="K106" s="46"/>
      <c r="L106" s="76"/>
      <c r="M106" s="66"/>
      <c r="N106" s="53"/>
      <c r="O106" s="53"/>
      <c r="P106" s="53"/>
      <c r="Q106" s="53"/>
      <c r="R106" s="53"/>
      <c r="S106" s="53"/>
      <c r="T106" s="65"/>
      <c r="U106" s="1"/>
    </row>
    <row r="107" spans="1:21" s="14" customFormat="1" x14ac:dyDescent="0.3">
      <c r="A107" s="49"/>
      <c r="B107" s="49"/>
      <c r="C107" s="49"/>
      <c r="D107" s="50"/>
      <c r="E107" s="50"/>
      <c r="F107" s="50"/>
      <c r="G107" s="50"/>
      <c r="H107" s="50"/>
      <c r="I107" s="46"/>
      <c r="J107" s="50"/>
      <c r="K107" s="46"/>
      <c r="L107" s="76"/>
      <c r="M107" s="66"/>
      <c r="N107" s="53"/>
      <c r="O107" s="53"/>
      <c r="P107" s="53"/>
      <c r="Q107" s="53"/>
      <c r="R107" s="53"/>
      <c r="S107" s="53"/>
      <c r="T107" s="65"/>
      <c r="U107" s="1"/>
    </row>
    <row r="108" spans="1:21" s="14" customFormat="1" x14ac:dyDescent="0.3">
      <c r="A108" s="110"/>
      <c r="B108" s="49"/>
      <c r="C108" s="49"/>
      <c r="D108" s="50"/>
      <c r="E108" s="50"/>
      <c r="F108" s="50"/>
      <c r="G108" s="50"/>
      <c r="H108" s="50"/>
      <c r="I108" s="46"/>
      <c r="J108" s="50"/>
      <c r="K108" s="46"/>
      <c r="L108" s="76"/>
      <c r="M108" s="66"/>
      <c r="N108" s="53"/>
      <c r="O108" s="53"/>
      <c r="P108" s="53"/>
      <c r="Q108" s="53"/>
      <c r="R108" s="53"/>
      <c r="S108" s="53"/>
      <c r="T108" s="65"/>
      <c r="U108" s="1"/>
    </row>
    <row r="109" spans="1:21" s="14" customFormat="1" x14ac:dyDescent="0.3">
      <c r="A109" s="49"/>
      <c r="B109" s="49"/>
      <c r="C109" s="49"/>
      <c r="D109" s="50"/>
      <c r="E109" s="50"/>
      <c r="F109" s="50"/>
      <c r="G109" s="50"/>
      <c r="H109" s="50"/>
      <c r="I109" s="65"/>
      <c r="J109" s="50"/>
      <c r="K109" s="46"/>
      <c r="L109" s="76"/>
      <c r="M109" s="66"/>
      <c r="N109" s="53"/>
      <c r="O109" s="53"/>
      <c r="P109" s="53"/>
      <c r="Q109" s="53"/>
      <c r="R109" s="53"/>
      <c r="S109" s="53"/>
      <c r="T109" s="65"/>
      <c r="U109" s="1"/>
    </row>
    <row r="110" spans="1:21" s="14" customFormat="1" x14ac:dyDescent="0.3">
      <c r="A110" s="111"/>
      <c r="B110" s="67"/>
      <c r="C110" s="49"/>
      <c r="D110" s="50"/>
      <c r="E110" s="50"/>
      <c r="F110" s="50"/>
      <c r="G110" s="50"/>
      <c r="H110" s="50"/>
      <c r="I110" s="65"/>
      <c r="J110" s="50"/>
      <c r="K110" s="46"/>
      <c r="L110" s="76"/>
      <c r="M110" s="66"/>
      <c r="N110" s="53"/>
      <c r="O110" s="53"/>
      <c r="P110" s="53"/>
      <c r="Q110" s="53"/>
      <c r="R110" s="53"/>
      <c r="S110" s="53"/>
      <c r="T110" s="65"/>
      <c r="U110" s="1"/>
    </row>
    <row r="111" spans="1:21" s="14" customFormat="1" x14ac:dyDescent="0.3">
      <c r="A111" s="49"/>
      <c r="B111" s="49"/>
      <c r="C111" s="50"/>
      <c r="D111" s="50"/>
      <c r="E111" s="50"/>
      <c r="F111" s="50"/>
      <c r="G111" s="50"/>
      <c r="H111" s="50"/>
      <c r="I111" s="65"/>
      <c r="J111" s="50"/>
      <c r="K111" s="46"/>
      <c r="L111" s="76"/>
      <c r="M111" s="66"/>
      <c r="N111" s="53"/>
      <c r="O111" s="53"/>
      <c r="P111" s="53"/>
      <c r="Q111" s="53"/>
      <c r="R111" s="53"/>
      <c r="S111" s="53"/>
      <c r="T111" s="65"/>
      <c r="U111" s="1"/>
    </row>
    <row r="112" spans="1:21" s="14" customFormat="1" x14ac:dyDescent="0.3">
      <c r="A112" s="110"/>
      <c r="B112" s="49"/>
      <c r="C112" s="50"/>
      <c r="D112" s="50"/>
      <c r="E112" s="50"/>
      <c r="F112" s="50"/>
      <c r="G112" s="50"/>
      <c r="H112" s="50"/>
      <c r="I112" s="46"/>
      <c r="J112" s="50"/>
      <c r="K112" s="46"/>
      <c r="L112" s="76"/>
      <c r="M112" s="66"/>
      <c r="N112" s="53"/>
      <c r="O112" s="53"/>
      <c r="P112" s="53"/>
      <c r="Q112" s="53"/>
      <c r="R112" s="53"/>
      <c r="S112" s="53"/>
      <c r="T112" s="65"/>
      <c r="U112" s="1"/>
    </row>
    <row r="113" spans="1:21" s="14" customFormat="1" x14ac:dyDescent="0.3">
      <c r="A113" s="49"/>
      <c r="B113" s="49"/>
      <c r="C113" s="50"/>
      <c r="D113" s="50"/>
      <c r="E113" s="50"/>
      <c r="F113" s="50"/>
      <c r="G113" s="50"/>
      <c r="H113" s="50"/>
      <c r="I113" s="46"/>
      <c r="J113" s="50"/>
      <c r="K113" s="46"/>
      <c r="L113" s="76"/>
      <c r="M113" s="66"/>
      <c r="N113" s="53"/>
      <c r="O113" s="53"/>
      <c r="P113" s="53"/>
      <c r="Q113" s="53"/>
      <c r="R113" s="53"/>
      <c r="S113" s="53"/>
      <c r="T113" s="65"/>
      <c r="U113" s="1"/>
    </row>
    <row r="114" spans="1:21" s="14" customFormat="1" x14ac:dyDescent="0.3">
      <c r="A114" s="110"/>
      <c r="B114" s="49"/>
      <c r="C114" s="50"/>
      <c r="D114" s="50"/>
      <c r="E114" s="50"/>
      <c r="F114" s="50"/>
      <c r="G114" s="50"/>
      <c r="H114" s="50"/>
      <c r="I114" s="46"/>
      <c r="J114" s="50"/>
      <c r="K114" s="46"/>
      <c r="L114" s="76"/>
      <c r="M114" s="66"/>
      <c r="N114" s="53"/>
      <c r="O114" s="53"/>
      <c r="P114" s="53"/>
      <c r="Q114" s="53"/>
      <c r="R114" s="53"/>
      <c r="S114" s="53"/>
      <c r="T114" s="65"/>
      <c r="U114" s="1"/>
    </row>
    <row r="115" spans="1:21" s="14" customFormat="1" x14ac:dyDescent="0.3">
      <c r="A115" s="49"/>
      <c r="B115" s="49"/>
      <c r="C115" s="50"/>
      <c r="D115" s="50"/>
      <c r="E115" s="50"/>
      <c r="F115" s="50"/>
      <c r="G115" s="50"/>
      <c r="H115" s="50"/>
      <c r="I115" s="46"/>
      <c r="J115" s="50"/>
      <c r="K115" s="50"/>
      <c r="L115" s="76"/>
      <c r="M115" s="66"/>
      <c r="N115" s="53"/>
      <c r="O115" s="53"/>
      <c r="P115" s="53"/>
      <c r="Q115" s="53"/>
      <c r="R115" s="53"/>
      <c r="S115" s="53"/>
      <c r="T115" s="65"/>
      <c r="U115" s="1"/>
    </row>
    <row r="116" spans="1:21" x14ac:dyDescent="0.3">
      <c r="A116" s="110"/>
      <c r="B116" s="49"/>
      <c r="I116" s="46"/>
      <c r="J116" s="46"/>
      <c r="K116" s="46"/>
      <c r="L116" s="76"/>
      <c r="M116" s="66"/>
      <c r="N116" s="53"/>
      <c r="O116" s="53"/>
      <c r="P116" s="53"/>
      <c r="Q116" s="53"/>
      <c r="R116" s="53"/>
      <c r="S116" s="53"/>
      <c r="T116" s="65"/>
    </row>
    <row r="117" spans="1:21" x14ac:dyDescent="0.3">
      <c r="A117" s="49"/>
      <c r="B117" s="49"/>
      <c r="I117" s="46"/>
      <c r="J117" s="46"/>
      <c r="K117" s="46"/>
      <c r="L117" s="76"/>
      <c r="M117" s="66"/>
      <c r="N117" s="53"/>
      <c r="O117" s="53"/>
      <c r="P117" s="53"/>
      <c r="Q117" s="53"/>
      <c r="R117" s="53"/>
      <c r="S117" s="53"/>
      <c r="T117" s="65"/>
    </row>
    <row r="118" spans="1:21" x14ac:dyDescent="0.3">
      <c r="A118" s="111"/>
      <c r="B118" s="67"/>
      <c r="I118" s="46"/>
      <c r="J118" s="46"/>
      <c r="K118" s="46"/>
      <c r="L118" s="76"/>
      <c r="M118" s="66"/>
      <c r="N118" s="53"/>
      <c r="O118" s="53"/>
      <c r="P118" s="53"/>
      <c r="Q118" s="53"/>
      <c r="R118" s="53"/>
      <c r="S118" s="53"/>
      <c r="T118" s="65"/>
    </row>
    <row r="119" spans="1:21" x14ac:dyDescent="0.3">
      <c r="A119" s="49"/>
      <c r="B119" s="49"/>
      <c r="I119" s="46"/>
      <c r="J119" s="46"/>
      <c r="K119" s="46"/>
      <c r="L119" s="76"/>
      <c r="M119" s="66"/>
      <c r="N119" s="53"/>
      <c r="O119" s="53"/>
      <c r="P119" s="53"/>
      <c r="Q119" s="53"/>
      <c r="R119" s="53"/>
      <c r="S119" s="53"/>
      <c r="T119" s="65"/>
    </row>
    <row r="120" spans="1:21" x14ac:dyDescent="0.3">
      <c r="A120" s="110"/>
      <c r="B120" s="49"/>
      <c r="I120" s="46"/>
      <c r="J120" s="46"/>
      <c r="K120" s="46"/>
      <c r="L120" s="76"/>
      <c r="M120" s="66"/>
      <c r="N120" s="53"/>
      <c r="O120" s="53"/>
      <c r="P120" s="53"/>
      <c r="Q120" s="53"/>
      <c r="R120" s="53"/>
      <c r="S120" s="53"/>
      <c r="T120" s="65"/>
    </row>
    <row r="121" spans="1:21" x14ac:dyDescent="0.3">
      <c r="A121" s="49"/>
      <c r="B121" s="49"/>
      <c r="I121" s="46"/>
      <c r="J121" s="46"/>
      <c r="K121" s="46"/>
      <c r="L121" s="76"/>
      <c r="M121" s="66"/>
      <c r="N121" s="53"/>
      <c r="O121" s="53"/>
      <c r="P121" s="53"/>
      <c r="Q121" s="53"/>
      <c r="R121" s="53"/>
      <c r="S121" s="53"/>
      <c r="T121" s="65"/>
    </row>
    <row r="122" spans="1:21" x14ac:dyDescent="0.3">
      <c r="A122" s="110"/>
      <c r="B122" s="49"/>
      <c r="H122" s="43"/>
      <c r="I122" s="46"/>
      <c r="J122" s="46"/>
      <c r="K122" s="46"/>
      <c r="L122" s="76"/>
      <c r="M122" s="66"/>
      <c r="N122" s="53"/>
      <c r="O122" s="53"/>
      <c r="P122" s="53"/>
      <c r="Q122" s="53"/>
      <c r="R122" s="53"/>
      <c r="S122" s="53"/>
      <c r="T122" s="65"/>
    </row>
    <row r="123" spans="1:21" x14ac:dyDescent="0.3">
      <c r="A123" s="49"/>
      <c r="B123" s="49"/>
      <c r="I123" s="46"/>
      <c r="J123" s="46"/>
      <c r="L123" s="76"/>
      <c r="M123" s="64"/>
      <c r="N123" s="53"/>
      <c r="O123" s="53"/>
      <c r="P123" s="53"/>
      <c r="Q123" s="53"/>
      <c r="R123" s="53"/>
      <c r="S123" s="53"/>
      <c r="T123" s="65"/>
    </row>
    <row r="124" spans="1:21" x14ac:dyDescent="0.3">
      <c r="A124" s="110"/>
      <c r="B124" s="49"/>
      <c r="I124" s="46"/>
      <c r="J124" s="46"/>
      <c r="L124" s="76"/>
      <c r="M124" s="66"/>
      <c r="N124" s="53"/>
      <c r="O124" s="53"/>
      <c r="P124" s="53"/>
      <c r="Q124" s="53"/>
      <c r="R124" s="53"/>
      <c r="S124" s="53"/>
      <c r="T124" s="65"/>
    </row>
    <row r="125" spans="1:21" x14ac:dyDescent="0.3">
      <c r="A125" s="49"/>
      <c r="B125" s="49"/>
      <c r="I125" s="46"/>
      <c r="J125" s="46"/>
      <c r="L125" s="76"/>
      <c r="M125" s="66"/>
      <c r="N125" s="53"/>
      <c r="O125" s="53"/>
      <c r="P125" s="53"/>
      <c r="Q125" s="53"/>
      <c r="R125" s="53"/>
      <c r="S125" s="53"/>
      <c r="T125" s="65"/>
    </row>
    <row r="126" spans="1:21" x14ac:dyDescent="0.3">
      <c r="A126" s="110"/>
      <c r="B126" s="49"/>
      <c r="I126" s="46"/>
      <c r="J126" s="46"/>
      <c r="L126" s="76"/>
      <c r="M126" s="66"/>
      <c r="N126" s="53"/>
      <c r="O126" s="53"/>
      <c r="P126" s="53"/>
      <c r="Q126" s="53"/>
      <c r="R126" s="53"/>
      <c r="S126" s="53"/>
      <c r="T126" s="65"/>
    </row>
    <row r="127" spans="1:21" x14ac:dyDescent="0.3">
      <c r="A127" s="49"/>
      <c r="B127" s="49"/>
      <c r="I127" s="46"/>
      <c r="J127" s="46"/>
      <c r="L127" s="76"/>
      <c r="M127" s="66"/>
      <c r="N127" s="53"/>
      <c r="O127" s="53"/>
      <c r="P127" s="53"/>
      <c r="Q127" s="53"/>
      <c r="R127" s="53"/>
      <c r="S127" s="53"/>
      <c r="T127" s="65"/>
    </row>
    <row r="128" spans="1:21" x14ac:dyDescent="0.3">
      <c r="A128" s="110"/>
      <c r="B128" s="49"/>
      <c r="I128" s="46"/>
      <c r="J128" s="46"/>
      <c r="L128" s="76"/>
      <c r="M128" s="66"/>
      <c r="N128" s="53"/>
      <c r="O128" s="53"/>
      <c r="P128" s="53"/>
      <c r="Q128" s="53"/>
      <c r="R128" s="53"/>
      <c r="S128" s="53"/>
      <c r="T128" s="65"/>
    </row>
    <row r="129" spans="1:20" x14ac:dyDescent="0.3">
      <c r="A129" s="49"/>
      <c r="B129" s="49"/>
      <c r="I129" s="46"/>
      <c r="J129" s="46"/>
      <c r="K129" s="46"/>
      <c r="L129" s="76"/>
      <c r="M129" s="66"/>
      <c r="N129" s="53"/>
      <c r="O129" s="53"/>
      <c r="P129" s="53"/>
      <c r="Q129" s="53"/>
      <c r="R129" s="53"/>
      <c r="S129" s="53"/>
      <c r="T129" s="65"/>
    </row>
    <row r="130" spans="1:20" x14ac:dyDescent="0.3">
      <c r="A130" s="110"/>
      <c r="B130" s="49"/>
      <c r="I130" s="46"/>
      <c r="J130" s="46"/>
      <c r="K130" s="46"/>
      <c r="L130" s="76"/>
      <c r="M130" s="66"/>
      <c r="N130" s="53"/>
      <c r="O130" s="53"/>
      <c r="P130" s="53"/>
      <c r="Q130" s="53"/>
      <c r="R130" s="53"/>
      <c r="S130" s="53"/>
      <c r="T130" s="65"/>
    </row>
    <row r="131" spans="1:20" x14ac:dyDescent="0.3">
      <c r="A131" s="49"/>
      <c r="B131" s="49"/>
      <c r="I131" s="46"/>
      <c r="J131" s="46"/>
      <c r="K131" s="46"/>
      <c r="L131" s="76"/>
      <c r="M131" s="66"/>
      <c r="N131" s="53"/>
      <c r="O131" s="53"/>
      <c r="P131" s="53"/>
      <c r="Q131" s="53"/>
      <c r="R131" s="53"/>
      <c r="S131" s="53"/>
      <c r="T131" s="65"/>
    </row>
    <row r="132" spans="1:20" x14ac:dyDescent="0.3">
      <c r="A132" s="110"/>
      <c r="B132" s="49"/>
      <c r="I132" s="46"/>
      <c r="J132" s="46"/>
      <c r="K132" s="46"/>
      <c r="L132" s="76"/>
      <c r="M132" s="66"/>
      <c r="N132" s="53"/>
      <c r="O132" s="53"/>
      <c r="P132" s="53"/>
      <c r="Q132" s="53"/>
      <c r="R132" s="53"/>
      <c r="S132" s="53"/>
      <c r="T132" s="65"/>
    </row>
    <row r="133" spans="1:20" x14ac:dyDescent="0.3">
      <c r="A133" s="49"/>
      <c r="B133" s="49"/>
      <c r="I133" s="46"/>
      <c r="J133" s="46"/>
      <c r="K133" s="46"/>
      <c r="L133" s="76"/>
      <c r="M133" s="66"/>
      <c r="N133" s="53"/>
      <c r="O133" s="53"/>
      <c r="P133" s="53"/>
      <c r="Q133" s="53"/>
      <c r="R133" s="53"/>
      <c r="S133" s="53"/>
      <c r="T133" s="65"/>
    </row>
    <row r="134" spans="1:20" ht="20.399999999999999" customHeight="1" x14ac:dyDescent="0.3">
      <c r="A134" s="110"/>
      <c r="B134" s="49"/>
      <c r="I134" s="46"/>
      <c r="J134" s="46"/>
      <c r="K134" s="46"/>
      <c r="L134" s="76"/>
      <c r="M134" s="66"/>
      <c r="N134" s="53"/>
      <c r="O134" s="53"/>
      <c r="P134" s="53"/>
      <c r="Q134" s="53"/>
      <c r="R134" s="53"/>
      <c r="S134" s="53"/>
      <c r="T134" s="65"/>
    </row>
    <row r="135" spans="1:20" ht="14.4" customHeight="1" x14ac:dyDescent="0.3">
      <c r="A135" s="49"/>
      <c r="B135" s="49"/>
      <c r="I135" s="46"/>
      <c r="J135" s="46"/>
      <c r="K135" s="46"/>
      <c r="L135" s="76"/>
      <c r="M135" s="66"/>
      <c r="N135" s="53"/>
      <c r="O135" s="53"/>
      <c r="P135" s="53"/>
      <c r="Q135" s="53"/>
      <c r="R135" s="53"/>
      <c r="S135" s="53"/>
      <c r="T135" s="72"/>
    </row>
    <row r="136" spans="1:20" ht="15.6" customHeight="1" x14ac:dyDescent="0.3">
      <c r="A136" s="110"/>
      <c r="B136" s="49"/>
      <c r="I136" s="46"/>
      <c r="J136" s="46"/>
      <c r="K136" s="46"/>
      <c r="L136" s="76"/>
      <c r="M136" s="66"/>
      <c r="N136" s="53"/>
      <c r="O136" s="53"/>
      <c r="P136" s="53"/>
      <c r="Q136" s="53"/>
      <c r="R136" s="53"/>
      <c r="S136" s="53"/>
      <c r="T136" s="50"/>
    </row>
    <row r="137" spans="1:20" x14ac:dyDescent="0.3">
      <c r="A137" s="49"/>
      <c r="B137" s="49"/>
      <c r="I137" s="46"/>
      <c r="J137" s="46"/>
      <c r="K137" s="46"/>
      <c r="L137" s="76"/>
      <c r="M137" s="66"/>
      <c r="N137" s="53"/>
      <c r="O137" s="53"/>
      <c r="P137" s="53"/>
      <c r="Q137" s="53"/>
      <c r="R137" s="53"/>
      <c r="S137" s="53"/>
      <c r="T137" s="50"/>
    </row>
    <row r="138" spans="1:20" x14ac:dyDescent="0.3">
      <c r="A138" s="110"/>
      <c r="B138" s="49"/>
      <c r="I138" s="46"/>
      <c r="J138" s="46"/>
      <c r="K138" s="46"/>
      <c r="L138" s="76"/>
      <c r="M138" s="66"/>
      <c r="N138" s="53"/>
      <c r="O138" s="53"/>
      <c r="P138" s="53"/>
      <c r="Q138" s="53"/>
      <c r="R138" s="53"/>
      <c r="S138" s="53"/>
      <c r="T138" s="50"/>
    </row>
    <row r="139" spans="1:20" x14ac:dyDescent="0.3">
      <c r="A139" s="49"/>
      <c r="B139" s="49"/>
      <c r="I139" s="46"/>
      <c r="J139" s="46"/>
      <c r="K139" s="46"/>
      <c r="L139" s="76"/>
      <c r="M139" s="66"/>
      <c r="N139" s="53"/>
      <c r="O139" s="53"/>
      <c r="P139" s="53"/>
      <c r="Q139" s="53"/>
      <c r="R139" s="53"/>
      <c r="S139" s="53"/>
      <c r="T139" s="50"/>
    </row>
    <row r="140" spans="1:20" x14ac:dyDescent="0.3">
      <c r="A140" s="110"/>
      <c r="B140" s="49"/>
      <c r="I140" s="46"/>
      <c r="J140" s="46"/>
      <c r="K140" s="46"/>
      <c r="L140" s="76"/>
      <c r="M140" s="66"/>
      <c r="N140" s="53"/>
      <c r="O140" s="53"/>
      <c r="P140" s="53"/>
      <c r="Q140" s="53"/>
      <c r="R140" s="53"/>
      <c r="S140" s="53"/>
      <c r="T140" s="50"/>
    </row>
    <row r="141" spans="1:20" x14ac:dyDescent="0.3">
      <c r="A141" s="49"/>
      <c r="B141" s="67"/>
      <c r="I141" s="46"/>
      <c r="J141" s="46"/>
      <c r="K141" s="46"/>
      <c r="L141" s="76"/>
      <c r="M141" s="66"/>
      <c r="N141" s="53"/>
      <c r="O141" s="53"/>
      <c r="P141" s="53"/>
      <c r="Q141" s="53"/>
      <c r="R141" s="53"/>
      <c r="S141" s="53"/>
      <c r="T141" s="50"/>
    </row>
    <row r="142" spans="1:20" x14ac:dyDescent="0.3">
      <c r="A142" s="110"/>
      <c r="B142" s="49"/>
      <c r="I142" s="46"/>
      <c r="J142" s="46"/>
      <c r="K142" s="46"/>
      <c r="L142" s="76"/>
      <c r="M142" s="66"/>
      <c r="N142" s="53"/>
      <c r="O142" s="53"/>
      <c r="P142" s="53"/>
      <c r="Q142" s="53"/>
      <c r="R142" s="53"/>
      <c r="S142" s="53"/>
      <c r="T142" s="50"/>
    </row>
    <row r="143" spans="1:20" x14ac:dyDescent="0.3">
      <c r="A143" s="67"/>
      <c r="B143" s="67"/>
      <c r="I143" s="46"/>
      <c r="J143" s="46"/>
      <c r="K143" s="46"/>
      <c r="L143" s="76"/>
      <c r="M143" s="66"/>
      <c r="N143" s="53"/>
      <c r="O143" s="53"/>
      <c r="P143" s="53"/>
      <c r="Q143" s="53"/>
      <c r="R143" s="53"/>
      <c r="S143" s="53"/>
      <c r="T143" s="50"/>
    </row>
    <row r="144" spans="1:20" x14ac:dyDescent="0.3">
      <c r="A144" s="110"/>
      <c r="B144" s="49"/>
      <c r="I144" s="46"/>
      <c r="J144" s="46"/>
      <c r="K144" s="46"/>
      <c r="L144" s="76"/>
      <c r="M144" s="64"/>
      <c r="N144" s="53"/>
      <c r="O144" s="53"/>
      <c r="P144" s="53"/>
      <c r="Q144" s="53"/>
      <c r="R144" s="53"/>
      <c r="S144" s="53"/>
      <c r="T144" s="43"/>
    </row>
    <row r="145" spans="1:20" x14ac:dyDescent="0.3">
      <c r="A145" s="49"/>
      <c r="B145" s="49"/>
      <c r="I145" s="46"/>
      <c r="J145" s="46"/>
      <c r="K145" s="46"/>
      <c r="L145" s="76"/>
      <c r="M145" s="66"/>
      <c r="N145" s="53"/>
      <c r="O145" s="53"/>
      <c r="P145" s="53"/>
      <c r="Q145" s="53"/>
      <c r="R145" s="53"/>
      <c r="S145" s="53"/>
      <c r="T145" s="50"/>
    </row>
    <row r="146" spans="1:20" x14ac:dyDescent="0.3">
      <c r="A146" s="110"/>
      <c r="B146" s="49"/>
      <c r="I146" s="46"/>
      <c r="J146" s="46"/>
      <c r="K146" s="46"/>
      <c r="L146" s="76"/>
      <c r="M146" s="64"/>
      <c r="N146" s="53"/>
      <c r="O146" s="53"/>
      <c r="P146" s="53"/>
      <c r="Q146" s="53"/>
      <c r="R146" s="53"/>
      <c r="S146" s="53"/>
      <c r="T146" s="73"/>
    </row>
    <row r="147" spans="1:20" x14ac:dyDescent="0.3">
      <c r="A147" s="49"/>
      <c r="B147" s="49"/>
      <c r="I147" s="46"/>
      <c r="J147" s="46"/>
      <c r="K147" s="46"/>
      <c r="L147" s="76"/>
      <c r="M147" s="51"/>
      <c r="N147" s="53"/>
      <c r="O147" s="53"/>
      <c r="P147" s="53"/>
      <c r="Q147" s="53"/>
      <c r="R147" s="53"/>
      <c r="S147" s="53"/>
      <c r="T147" s="50"/>
    </row>
    <row r="148" spans="1:20" x14ac:dyDescent="0.3">
      <c r="A148" s="110"/>
      <c r="B148" s="49"/>
      <c r="I148" s="46"/>
      <c r="J148" s="46"/>
      <c r="K148" s="46"/>
      <c r="L148" s="76"/>
      <c r="M148" s="64"/>
      <c r="N148" s="53"/>
      <c r="O148" s="53"/>
      <c r="P148" s="53"/>
      <c r="Q148" s="53"/>
      <c r="R148" s="53"/>
      <c r="S148" s="53"/>
      <c r="T148" s="50"/>
    </row>
    <row r="149" spans="1:20" x14ac:dyDescent="0.3">
      <c r="A149" s="49"/>
      <c r="B149" s="49"/>
      <c r="I149" s="46"/>
      <c r="J149" s="46"/>
      <c r="K149" s="46"/>
      <c r="L149" s="76"/>
      <c r="M149" s="64"/>
      <c r="N149" s="53"/>
      <c r="O149" s="53"/>
      <c r="P149" s="53"/>
      <c r="Q149" s="53"/>
      <c r="R149" s="53"/>
      <c r="S149" s="53"/>
      <c r="T149" s="50"/>
    </row>
    <row r="150" spans="1:20" x14ac:dyDescent="0.3">
      <c r="A150" s="110"/>
      <c r="B150" s="49"/>
      <c r="I150" s="46"/>
      <c r="J150" s="46"/>
      <c r="K150" s="46"/>
      <c r="L150" s="76"/>
      <c r="M150" s="64"/>
      <c r="N150" s="53"/>
      <c r="O150" s="53"/>
      <c r="P150" s="53"/>
      <c r="Q150" s="53"/>
      <c r="R150" s="53"/>
      <c r="S150" s="53"/>
      <c r="T150" s="73"/>
    </row>
    <row r="151" spans="1:20" x14ac:dyDescent="0.3">
      <c r="A151" s="49"/>
      <c r="B151" s="49"/>
      <c r="I151" s="46"/>
      <c r="J151" s="46"/>
      <c r="K151" s="46"/>
      <c r="L151" s="76"/>
      <c r="M151" s="64"/>
      <c r="N151" s="53"/>
      <c r="O151" s="53"/>
      <c r="P151" s="53"/>
      <c r="Q151" s="53"/>
      <c r="R151" s="53"/>
      <c r="S151" s="53"/>
      <c r="T151" s="73"/>
    </row>
    <row r="152" spans="1:20" x14ac:dyDescent="0.3">
      <c r="A152" s="110"/>
      <c r="B152" s="49"/>
      <c r="I152" s="46"/>
      <c r="J152" s="46"/>
      <c r="K152" s="46"/>
      <c r="L152" s="76"/>
      <c r="M152" s="64"/>
      <c r="N152" s="53"/>
      <c r="O152" s="53"/>
      <c r="P152" s="53"/>
      <c r="Q152" s="53"/>
      <c r="R152" s="53"/>
      <c r="S152" s="53"/>
      <c r="T152" s="73"/>
    </row>
    <row r="153" spans="1:20" x14ac:dyDescent="0.3">
      <c r="A153" s="49"/>
      <c r="B153" s="49"/>
      <c r="I153" s="46"/>
      <c r="J153" s="46"/>
      <c r="K153" s="46"/>
      <c r="L153" s="76"/>
      <c r="M153" s="69"/>
      <c r="N153" s="53"/>
      <c r="O153" s="53"/>
      <c r="P153" s="53"/>
      <c r="Q153" s="53"/>
      <c r="R153" s="53"/>
      <c r="S153" s="53"/>
      <c r="T153" s="50"/>
    </row>
    <row r="154" spans="1:20" x14ac:dyDescent="0.3">
      <c r="A154" s="110"/>
      <c r="B154" s="49"/>
      <c r="I154" s="46"/>
      <c r="J154" s="46"/>
      <c r="K154" s="46"/>
      <c r="L154" s="76"/>
      <c r="M154" s="64"/>
      <c r="N154" s="53"/>
      <c r="O154" s="53"/>
      <c r="P154" s="53"/>
      <c r="Q154" s="53"/>
      <c r="R154" s="53"/>
      <c r="S154" s="53"/>
      <c r="T154" s="50"/>
    </row>
    <row r="155" spans="1:20" x14ac:dyDescent="0.3">
      <c r="A155" s="49"/>
      <c r="B155" s="49"/>
      <c r="I155" s="46"/>
      <c r="J155" s="46"/>
      <c r="K155" s="46"/>
      <c r="L155" s="76"/>
      <c r="M155" s="64"/>
      <c r="N155" s="53"/>
      <c r="O155" s="53"/>
      <c r="P155" s="53"/>
      <c r="Q155" s="53"/>
      <c r="R155" s="53"/>
      <c r="S155" s="53"/>
      <c r="T155" s="50"/>
    </row>
    <row r="156" spans="1:20" x14ac:dyDescent="0.3">
      <c r="A156" s="110"/>
      <c r="B156" s="49"/>
      <c r="I156" s="46"/>
      <c r="J156" s="46"/>
      <c r="K156" s="46"/>
      <c r="L156" s="76"/>
      <c r="M156" s="64"/>
      <c r="N156" s="53"/>
      <c r="O156" s="53"/>
      <c r="P156" s="53"/>
      <c r="Q156" s="53"/>
      <c r="R156" s="53"/>
      <c r="S156" s="53"/>
      <c r="T156" s="50"/>
    </row>
    <row r="157" spans="1:20" x14ac:dyDescent="0.3">
      <c r="A157" s="49"/>
      <c r="B157" s="49"/>
      <c r="I157" s="46"/>
      <c r="J157" s="46"/>
      <c r="K157" s="46"/>
      <c r="L157" s="76"/>
      <c r="M157" s="64"/>
      <c r="N157" s="53"/>
      <c r="O157" s="53"/>
      <c r="P157" s="53"/>
      <c r="Q157" s="53"/>
      <c r="R157" s="53"/>
      <c r="S157" s="53"/>
      <c r="T157" s="73"/>
    </row>
    <row r="158" spans="1:20" x14ac:dyDescent="0.3">
      <c r="A158" s="110"/>
      <c r="B158" s="49"/>
      <c r="I158" s="46"/>
      <c r="J158" s="46"/>
      <c r="K158" s="46"/>
      <c r="L158" s="76"/>
      <c r="M158" s="64"/>
      <c r="N158" s="53"/>
      <c r="O158" s="53"/>
      <c r="P158" s="53"/>
      <c r="Q158" s="53"/>
      <c r="R158" s="53"/>
      <c r="S158" s="53"/>
      <c r="T158" s="50"/>
    </row>
    <row r="159" spans="1:20" x14ac:dyDescent="0.3">
      <c r="A159" s="49"/>
      <c r="B159" s="49"/>
      <c r="I159" s="46"/>
      <c r="J159" s="46"/>
      <c r="K159" s="46"/>
      <c r="L159" s="76"/>
      <c r="M159" s="64"/>
      <c r="N159" s="53"/>
      <c r="O159" s="53"/>
      <c r="P159" s="53"/>
      <c r="Q159" s="53"/>
      <c r="R159" s="53"/>
      <c r="S159" s="53"/>
      <c r="T159" s="73"/>
    </row>
    <row r="160" spans="1:20" x14ac:dyDescent="0.3">
      <c r="A160" s="110"/>
      <c r="B160" s="49"/>
      <c r="I160" s="46"/>
      <c r="J160" s="46"/>
      <c r="K160" s="46"/>
      <c r="L160" s="76"/>
      <c r="M160" s="64"/>
      <c r="N160" s="53"/>
      <c r="O160" s="53"/>
      <c r="P160" s="53"/>
      <c r="Q160" s="53"/>
      <c r="R160" s="53"/>
      <c r="S160" s="53"/>
      <c r="T160" s="50"/>
    </row>
    <row r="161" spans="1:20" x14ac:dyDescent="0.3">
      <c r="A161" s="49"/>
      <c r="B161" s="49"/>
      <c r="I161" s="46"/>
      <c r="J161" s="46"/>
      <c r="K161" s="46"/>
      <c r="L161" s="76"/>
      <c r="M161" s="64"/>
      <c r="N161" s="53"/>
      <c r="O161" s="53"/>
      <c r="P161" s="53"/>
      <c r="Q161" s="53"/>
      <c r="R161" s="53"/>
      <c r="S161" s="53"/>
      <c r="T161" s="50"/>
    </row>
    <row r="162" spans="1:20" x14ac:dyDescent="0.3">
      <c r="A162" s="111"/>
      <c r="B162" s="67"/>
      <c r="I162" s="46"/>
      <c r="J162" s="46"/>
      <c r="K162" s="46"/>
      <c r="L162" s="76"/>
      <c r="M162" s="64"/>
      <c r="N162" s="53"/>
      <c r="O162" s="53"/>
      <c r="P162" s="53"/>
      <c r="Q162" s="53"/>
      <c r="R162" s="53"/>
      <c r="S162" s="53"/>
      <c r="T162" s="50"/>
    </row>
    <row r="163" spans="1:20" x14ac:dyDescent="0.3">
      <c r="A163" s="49"/>
      <c r="B163" s="49"/>
      <c r="I163" s="46"/>
      <c r="J163" s="46"/>
      <c r="K163" s="46"/>
      <c r="L163" s="76"/>
      <c r="M163" s="64"/>
      <c r="N163" s="53"/>
      <c r="O163" s="53"/>
      <c r="P163" s="53"/>
      <c r="Q163" s="53"/>
      <c r="R163" s="53"/>
      <c r="S163" s="53"/>
      <c r="T163" s="50"/>
    </row>
    <row r="164" spans="1:20" x14ac:dyDescent="0.3">
      <c r="A164" s="110"/>
      <c r="B164" s="49"/>
      <c r="I164" s="46"/>
      <c r="J164" s="46"/>
      <c r="K164" s="46"/>
      <c r="L164" s="76"/>
      <c r="M164" s="64"/>
      <c r="N164" s="53"/>
      <c r="O164" s="53"/>
      <c r="P164" s="53"/>
      <c r="Q164" s="53"/>
      <c r="R164" s="53"/>
      <c r="S164" s="53"/>
      <c r="T164" s="50"/>
    </row>
    <row r="165" spans="1:20" x14ac:dyDescent="0.3">
      <c r="A165" s="49"/>
      <c r="B165" s="49"/>
      <c r="I165" s="46"/>
      <c r="J165" s="46"/>
      <c r="K165" s="46"/>
      <c r="L165" s="76"/>
      <c r="M165" s="64"/>
      <c r="N165" s="53"/>
      <c r="O165" s="53"/>
      <c r="P165" s="53"/>
      <c r="Q165" s="53"/>
      <c r="R165" s="53"/>
      <c r="S165" s="53"/>
      <c r="T165" s="50"/>
    </row>
    <row r="166" spans="1:20" x14ac:dyDescent="0.3">
      <c r="A166" s="110"/>
      <c r="B166" s="49"/>
      <c r="I166" s="46"/>
      <c r="J166" s="46"/>
      <c r="K166" s="46"/>
      <c r="L166" s="76"/>
      <c r="M166" s="64"/>
      <c r="N166" s="53"/>
      <c r="O166" s="53"/>
      <c r="P166" s="53"/>
      <c r="Q166" s="53"/>
      <c r="R166" s="53"/>
      <c r="S166" s="53"/>
      <c r="T166" s="50"/>
    </row>
    <row r="167" spans="1:20" x14ac:dyDescent="0.3">
      <c r="A167" s="49"/>
      <c r="B167" s="49"/>
      <c r="I167" s="46"/>
      <c r="J167" s="46"/>
      <c r="K167" s="46"/>
      <c r="L167" s="76"/>
      <c r="M167" s="64"/>
      <c r="N167" s="53"/>
      <c r="O167" s="53"/>
      <c r="P167" s="53"/>
      <c r="Q167" s="53"/>
      <c r="R167" s="53"/>
      <c r="S167" s="53"/>
      <c r="T167" s="50"/>
    </row>
    <row r="168" spans="1:20" x14ac:dyDescent="0.3">
      <c r="A168" s="110"/>
      <c r="B168" s="49"/>
      <c r="I168" s="46"/>
      <c r="J168" s="46"/>
      <c r="K168" s="46"/>
      <c r="L168" s="76"/>
      <c r="M168" s="64"/>
      <c r="N168" s="53"/>
      <c r="O168" s="53"/>
      <c r="P168" s="53"/>
      <c r="Q168" s="53"/>
      <c r="R168" s="53"/>
      <c r="S168" s="53"/>
      <c r="T168" s="50"/>
    </row>
    <row r="169" spans="1:20" x14ac:dyDescent="0.3">
      <c r="A169" s="49"/>
      <c r="B169" s="49"/>
      <c r="I169" s="46"/>
      <c r="J169" s="46"/>
      <c r="K169" s="46"/>
      <c r="L169" s="76"/>
      <c r="M169" s="64"/>
      <c r="N169" s="53"/>
      <c r="O169" s="53"/>
      <c r="P169" s="53"/>
      <c r="Q169" s="53"/>
      <c r="R169" s="53"/>
      <c r="S169" s="53"/>
      <c r="T169" s="50"/>
    </row>
    <row r="170" spans="1:20" x14ac:dyDescent="0.3">
      <c r="A170" s="110"/>
      <c r="B170" s="49"/>
      <c r="I170" s="46"/>
      <c r="J170" s="46"/>
      <c r="K170" s="46"/>
      <c r="L170" s="76"/>
      <c r="M170" s="64"/>
      <c r="N170" s="53"/>
      <c r="O170" s="53"/>
      <c r="P170" s="53"/>
      <c r="Q170" s="53"/>
      <c r="R170" s="53"/>
      <c r="S170" s="53"/>
      <c r="T170" s="50"/>
    </row>
    <row r="171" spans="1:20" x14ac:dyDescent="0.3">
      <c r="A171" s="49"/>
      <c r="B171" s="67"/>
      <c r="I171" s="46"/>
      <c r="J171" s="46"/>
      <c r="K171" s="46"/>
      <c r="L171" s="76"/>
      <c r="M171" s="64"/>
      <c r="N171" s="53"/>
      <c r="O171" s="53"/>
      <c r="P171" s="53"/>
      <c r="Q171" s="53"/>
      <c r="R171" s="53"/>
      <c r="S171" s="53"/>
      <c r="T171" s="73"/>
    </row>
    <row r="172" spans="1:20" x14ac:dyDescent="0.3">
      <c r="A172" s="110"/>
      <c r="B172" s="49"/>
      <c r="I172" s="46"/>
      <c r="J172" s="46"/>
      <c r="K172" s="46"/>
      <c r="L172" s="76"/>
      <c r="M172" s="64"/>
      <c r="N172" s="53"/>
      <c r="O172" s="53"/>
      <c r="P172" s="53"/>
      <c r="Q172" s="53"/>
      <c r="R172" s="53"/>
      <c r="S172" s="53"/>
      <c r="T172" s="50"/>
    </row>
    <row r="173" spans="1:20" x14ac:dyDescent="0.3">
      <c r="A173" s="49"/>
      <c r="B173" s="49"/>
      <c r="I173" s="46"/>
      <c r="J173" s="46"/>
      <c r="K173" s="46"/>
      <c r="L173" s="76"/>
      <c r="M173" s="64"/>
      <c r="N173" s="53"/>
      <c r="O173" s="53"/>
      <c r="P173" s="53"/>
      <c r="Q173" s="53"/>
      <c r="R173" s="53"/>
      <c r="S173" s="53"/>
      <c r="T173" s="50"/>
    </row>
    <row r="174" spans="1:20" x14ac:dyDescent="0.3">
      <c r="A174" s="110"/>
      <c r="B174" s="49"/>
      <c r="I174" s="46"/>
      <c r="J174" s="46"/>
      <c r="K174" s="46"/>
      <c r="L174" s="76"/>
      <c r="M174" s="64"/>
      <c r="N174" s="53"/>
      <c r="O174" s="53"/>
      <c r="P174" s="53"/>
      <c r="Q174" s="53"/>
      <c r="R174" s="53"/>
      <c r="S174" s="53"/>
      <c r="T174" s="73"/>
    </row>
    <row r="175" spans="1:20" x14ac:dyDescent="0.3">
      <c r="A175" s="49"/>
      <c r="B175" s="49"/>
      <c r="I175" s="46"/>
      <c r="J175" s="46"/>
      <c r="K175" s="46"/>
      <c r="L175" s="76"/>
      <c r="M175" s="64"/>
      <c r="N175" s="53"/>
      <c r="O175" s="53"/>
      <c r="P175" s="53"/>
      <c r="Q175" s="53"/>
      <c r="R175" s="53"/>
      <c r="S175" s="53"/>
      <c r="T175" s="50"/>
    </row>
    <row r="176" spans="1:20" x14ac:dyDescent="0.3">
      <c r="A176" s="110"/>
      <c r="B176" s="49"/>
      <c r="I176" s="46"/>
      <c r="J176" s="46"/>
      <c r="K176" s="46"/>
      <c r="L176" s="76"/>
      <c r="M176" s="64"/>
      <c r="N176" s="53"/>
      <c r="O176" s="53"/>
      <c r="P176" s="53"/>
      <c r="Q176" s="53"/>
      <c r="R176" s="53"/>
      <c r="S176" s="53"/>
      <c r="T176" s="50"/>
    </row>
    <row r="177" spans="1:20" x14ac:dyDescent="0.3">
      <c r="A177" s="49"/>
      <c r="B177" s="49"/>
      <c r="I177" s="46"/>
      <c r="J177" s="46"/>
      <c r="K177" s="46"/>
      <c r="L177" s="76"/>
      <c r="M177" s="64"/>
      <c r="N177" s="53"/>
      <c r="O177" s="53"/>
      <c r="P177" s="53"/>
      <c r="Q177" s="53"/>
      <c r="R177" s="53"/>
      <c r="S177" s="53"/>
      <c r="T177" s="50"/>
    </row>
    <row r="178" spans="1:20" x14ac:dyDescent="0.3">
      <c r="A178" s="110"/>
      <c r="B178" s="49"/>
      <c r="I178" s="46"/>
      <c r="J178" s="46"/>
      <c r="K178" s="46"/>
      <c r="L178" s="76"/>
      <c r="M178" s="64"/>
      <c r="N178" s="53"/>
      <c r="O178" s="53"/>
      <c r="P178" s="53"/>
      <c r="Q178" s="53"/>
      <c r="R178" s="53"/>
      <c r="S178" s="53"/>
      <c r="T178" s="50"/>
    </row>
    <row r="179" spans="1:20" x14ac:dyDescent="0.3">
      <c r="A179" s="49"/>
      <c r="B179" s="49"/>
      <c r="I179" s="46"/>
      <c r="J179" s="46"/>
      <c r="K179" s="46"/>
      <c r="L179" s="76"/>
      <c r="M179" s="64"/>
      <c r="N179" s="53"/>
      <c r="O179" s="53"/>
      <c r="P179" s="53"/>
      <c r="Q179" s="53"/>
      <c r="R179" s="53"/>
      <c r="S179" s="53"/>
      <c r="T179" s="50"/>
    </row>
    <row r="180" spans="1:20" x14ac:dyDescent="0.3">
      <c r="A180" s="110"/>
      <c r="B180" s="49"/>
      <c r="I180" s="46"/>
      <c r="J180" s="46"/>
      <c r="K180" s="46"/>
      <c r="L180" s="76"/>
      <c r="M180" s="64"/>
      <c r="N180" s="53"/>
      <c r="O180" s="53"/>
      <c r="P180" s="53"/>
      <c r="Q180" s="53"/>
      <c r="R180" s="53"/>
      <c r="S180" s="53"/>
      <c r="T180" s="50"/>
    </row>
    <row r="181" spans="1:20" x14ac:dyDescent="0.3">
      <c r="A181" s="49"/>
      <c r="B181" s="49"/>
      <c r="I181" s="46"/>
      <c r="J181" s="46"/>
      <c r="K181" s="46"/>
      <c r="L181" s="76"/>
      <c r="M181" s="64"/>
      <c r="N181" s="53"/>
      <c r="O181" s="53"/>
      <c r="P181" s="53"/>
      <c r="Q181" s="53"/>
      <c r="R181" s="53"/>
      <c r="S181" s="53"/>
      <c r="T181" s="73"/>
    </row>
    <row r="182" spans="1:20" x14ac:dyDescent="0.3">
      <c r="A182" s="110"/>
      <c r="B182" s="49"/>
      <c r="I182" s="46"/>
      <c r="J182" s="46"/>
      <c r="K182" s="46"/>
      <c r="L182" s="76"/>
      <c r="M182" s="64"/>
      <c r="N182" s="53"/>
      <c r="O182" s="53"/>
      <c r="P182" s="53"/>
      <c r="Q182" s="53"/>
      <c r="R182" s="53"/>
      <c r="S182" s="53"/>
      <c r="T182" s="72"/>
    </row>
    <row r="183" spans="1:20" x14ac:dyDescent="0.3">
      <c r="A183" s="49"/>
      <c r="B183" s="49"/>
      <c r="I183" s="46"/>
      <c r="J183" s="46"/>
      <c r="K183" s="46"/>
      <c r="L183" s="76"/>
      <c r="M183" s="64"/>
      <c r="N183" s="53"/>
      <c r="O183" s="53"/>
      <c r="P183" s="53"/>
      <c r="Q183" s="53"/>
      <c r="R183" s="53"/>
      <c r="S183" s="53"/>
      <c r="T183" s="72"/>
    </row>
    <row r="184" spans="1:20" x14ac:dyDescent="0.3">
      <c r="A184" s="110"/>
      <c r="B184" s="49"/>
      <c r="I184" s="46"/>
      <c r="J184" s="46"/>
      <c r="K184" s="46"/>
      <c r="L184" s="76"/>
      <c r="M184" s="64"/>
      <c r="N184" s="53"/>
      <c r="O184" s="53"/>
      <c r="P184" s="53"/>
      <c r="Q184" s="53"/>
      <c r="R184" s="53"/>
      <c r="S184" s="53"/>
      <c r="T184" s="72"/>
    </row>
    <row r="185" spans="1:20" x14ac:dyDescent="0.3">
      <c r="A185" s="49"/>
      <c r="B185" s="49"/>
      <c r="I185" s="46"/>
      <c r="J185" s="46"/>
      <c r="K185" s="46"/>
      <c r="L185" s="76"/>
      <c r="M185" s="64"/>
      <c r="N185" s="53"/>
      <c r="O185" s="53"/>
      <c r="P185" s="53"/>
      <c r="Q185" s="53"/>
      <c r="R185" s="53"/>
      <c r="S185" s="53"/>
      <c r="T185" s="72"/>
    </row>
    <row r="186" spans="1:20" x14ac:dyDescent="0.3">
      <c r="A186" s="110"/>
      <c r="B186" s="49"/>
      <c r="I186" s="46"/>
      <c r="J186" s="46"/>
      <c r="K186" s="46"/>
      <c r="L186" s="76"/>
      <c r="M186" s="64"/>
      <c r="N186" s="53"/>
      <c r="O186" s="53"/>
      <c r="P186" s="53"/>
      <c r="Q186" s="53"/>
      <c r="R186" s="53"/>
      <c r="S186" s="53"/>
      <c r="T186" s="72"/>
    </row>
    <row r="187" spans="1:20" x14ac:dyDescent="0.3">
      <c r="A187" s="49"/>
      <c r="B187" s="49"/>
      <c r="I187" s="46"/>
      <c r="J187" s="46"/>
      <c r="K187" s="46"/>
      <c r="L187" s="76"/>
      <c r="M187" s="64"/>
      <c r="N187" s="53"/>
      <c r="O187" s="53"/>
      <c r="P187" s="53"/>
      <c r="Q187" s="53"/>
      <c r="R187" s="53"/>
      <c r="S187" s="53"/>
      <c r="T187" s="72"/>
    </row>
    <row r="188" spans="1:20" x14ac:dyDescent="0.3">
      <c r="A188" s="110"/>
      <c r="B188" s="49"/>
      <c r="I188" s="46"/>
      <c r="J188" s="46"/>
      <c r="K188" s="46"/>
      <c r="L188" s="76"/>
      <c r="M188" s="64"/>
      <c r="N188" s="53"/>
      <c r="O188" s="53"/>
      <c r="P188" s="53"/>
      <c r="Q188" s="53"/>
      <c r="R188" s="53"/>
      <c r="S188" s="53"/>
      <c r="T188" s="72"/>
    </row>
    <row r="189" spans="1:20" x14ac:dyDescent="0.3">
      <c r="A189" s="49"/>
      <c r="B189" s="49"/>
      <c r="I189" s="46"/>
      <c r="J189" s="46"/>
      <c r="K189" s="46"/>
      <c r="L189" s="76"/>
      <c r="M189" s="64"/>
      <c r="N189" s="53"/>
      <c r="O189" s="53"/>
      <c r="P189" s="53"/>
      <c r="Q189" s="53"/>
      <c r="R189" s="53"/>
      <c r="S189" s="53"/>
      <c r="T189" s="72"/>
    </row>
    <row r="190" spans="1:20" x14ac:dyDescent="0.3">
      <c r="A190" s="110"/>
      <c r="B190" s="49"/>
      <c r="I190" s="46"/>
      <c r="J190" s="46"/>
      <c r="K190" s="46"/>
      <c r="L190" s="76"/>
      <c r="M190" s="64"/>
      <c r="N190" s="53"/>
      <c r="O190" s="53"/>
      <c r="P190" s="53"/>
      <c r="Q190" s="53"/>
      <c r="R190" s="53"/>
      <c r="S190" s="53"/>
      <c r="T190" s="72"/>
    </row>
    <row r="191" spans="1:20" x14ac:dyDescent="0.3">
      <c r="A191" s="49"/>
      <c r="B191" s="49"/>
      <c r="I191" s="46"/>
      <c r="J191" s="46"/>
      <c r="K191" s="46"/>
      <c r="L191" s="76"/>
      <c r="M191" s="64"/>
      <c r="N191" s="53"/>
      <c r="O191" s="53"/>
      <c r="P191" s="53"/>
      <c r="Q191" s="53"/>
      <c r="R191" s="53"/>
      <c r="S191" s="53"/>
      <c r="T191" s="72"/>
    </row>
    <row r="192" spans="1:20" x14ac:dyDescent="0.3">
      <c r="A192" s="110"/>
      <c r="B192" s="49"/>
      <c r="I192" s="46"/>
      <c r="J192" s="46"/>
      <c r="K192" s="46"/>
      <c r="L192" s="76"/>
      <c r="M192" s="64"/>
      <c r="N192" s="53"/>
      <c r="O192" s="53"/>
      <c r="P192" s="53"/>
      <c r="Q192" s="53"/>
      <c r="R192" s="53"/>
      <c r="S192" s="53"/>
      <c r="T192" s="72"/>
    </row>
    <row r="193" spans="1:20" x14ac:dyDescent="0.3">
      <c r="A193" s="49"/>
      <c r="B193" s="49"/>
      <c r="I193" s="46"/>
      <c r="J193" s="46"/>
      <c r="K193" s="46"/>
      <c r="L193" s="76"/>
      <c r="M193" s="64"/>
      <c r="N193" s="53"/>
      <c r="O193" s="53"/>
      <c r="P193" s="53"/>
      <c r="Q193" s="53"/>
      <c r="R193" s="53"/>
      <c r="S193" s="53"/>
      <c r="T193" s="72"/>
    </row>
    <row r="194" spans="1:20" x14ac:dyDescent="0.3">
      <c r="A194" s="110"/>
      <c r="B194" s="49"/>
      <c r="I194" s="46"/>
      <c r="J194" s="46"/>
      <c r="K194" s="46"/>
      <c r="L194" s="76"/>
      <c r="M194" s="64"/>
      <c r="N194" s="53"/>
      <c r="O194" s="53"/>
      <c r="P194" s="53"/>
      <c r="Q194" s="53"/>
      <c r="R194" s="53"/>
      <c r="S194" s="53"/>
      <c r="T194" s="72"/>
    </row>
    <row r="195" spans="1:20" x14ac:dyDescent="0.3">
      <c r="A195" s="49"/>
      <c r="B195" s="49"/>
      <c r="I195" s="46"/>
      <c r="J195" s="46"/>
      <c r="K195" s="46"/>
      <c r="L195" s="76"/>
      <c r="M195" s="64"/>
      <c r="N195" s="53"/>
      <c r="O195" s="53"/>
      <c r="P195" s="53"/>
      <c r="Q195" s="53"/>
      <c r="R195" s="53"/>
      <c r="S195" s="53"/>
      <c r="T195" s="72"/>
    </row>
    <row r="196" spans="1:20" x14ac:dyDescent="0.3">
      <c r="A196" s="110"/>
      <c r="B196" s="49"/>
      <c r="I196" s="46"/>
      <c r="J196" s="46"/>
      <c r="K196" s="46"/>
      <c r="L196" s="76"/>
      <c r="M196" s="64"/>
      <c r="N196" s="53"/>
      <c r="O196" s="53"/>
      <c r="P196" s="53"/>
      <c r="Q196" s="53"/>
      <c r="R196" s="53"/>
      <c r="S196" s="53"/>
      <c r="T196" s="72"/>
    </row>
    <row r="197" spans="1:20" x14ac:dyDescent="0.3">
      <c r="A197" s="49"/>
      <c r="B197" s="49"/>
      <c r="I197" s="46"/>
      <c r="J197" s="46"/>
      <c r="K197" s="46"/>
      <c r="L197" s="76"/>
      <c r="M197" s="64"/>
      <c r="N197" s="53"/>
      <c r="O197" s="53"/>
      <c r="P197" s="53"/>
      <c r="Q197" s="53"/>
      <c r="R197" s="53"/>
      <c r="S197" s="53"/>
      <c r="T197" s="72"/>
    </row>
    <row r="198" spans="1:20" x14ac:dyDescent="0.3">
      <c r="A198" s="110"/>
      <c r="B198" s="49"/>
      <c r="I198" s="46"/>
      <c r="J198" s="46"/>
      <c r="K198" s="46"/>
      <c r="L198" s="76"/>
      <c r="M198" s="64"/>
      <c r="N198" s="53"/>
      <c r="O198" s="53"/>
      <c r="P198" s="53"/>
      <c r="Q198" s="53"/>
      <c r="R198" s="53"/>
      <c r="S198" s="53"/>
      <c r="T198" s="72"/>
    </row>
    <row r="199" spans="1:20" x14ac:dyDescent="0.3">
      <c r="A199" s="49"/>
      <c r="B199" s="49"/>
      <c r="I199" s="46"/>
      <c r="J199" s="46"/>
      <c r="K199" s="46"/>
      <c r="L199" s="76"/>
      <c r="M199" s="64"/>
      <c r="N199" s="53"/>
      <c r="O199" s="53"/>
      <c r="P199" s="53"/>
      <c r="Q199" s="53"/>
      <c r="R199" s="53"/>
      <c r="S199" s="53"/>
      <c r="T199" s="72"/>
    </row>
    <row r="200" spans="1:20" x14ac:dyDescent="0.3">
      <c r="A200" s="110"/>
      <c r="B200" s="49"/>
      <c r="I200" s="46"/>
      <c r="J200" s="46"/>
      <c r="K200" s="46"/>
      <c r="L200" s="76"/>
      <c r="M200" s="64"/>
      <c r="N200" s="53"/>
      <c r="O200" s="53"/>
      <c r="P200" s="53"/>
      <c r="Q200" s="53"/>
      <c r="R200" s="53"/>
      <c r="S200" s="53"/>
      <c r="T200" s="72"/>
    </row>
    <row r="201" spans="1:20" x14ac:dyDescent="0.3">
      <c r="A201" s="49"/>
      <c r="B201" s="49"/>
      <c r="I201" s="46"/>
      <c r="J201" s="46"/>
      <c r="K201" s="46"/>
      <c r="L201" s="76"/>
      <c r="M201" s="64"/>
      <c r="N201" s="53"/>
      <c r="O201" s="53"/>
      <c r="P201" s="53"/>
      <c r="Q201" s="53"/>
      <c r="R201" s="53"/>
      <c r="S201" s="53"/>
      <c r="T201" s="72"/>
    </row>
    <row r="202" spans="1:20" x14ac:dyDescent="0.3">
      <c r="A202" s="110"/>
      <c r="B202" s="49"/>
      <c r="I202" s="46"/>
      <c r="J202" s="46"/>
      <c r="K202" s="46"/>
      <c r="L202" s="76"/>
      <c r="M202" s="64"/>
      <c r="N202" s="53"/>
      <c r="O202" s="53"/>
      <c r="P202" s="53"/>
      <c r="Q202" s="53"/>
      <c r="R202" s="53"/>
      <c r="S202" s="53"/>
      <c r="T202" s="72"/>
    </row>
    <row r="203" spans="1:20" x14ac:dyDescent="0.3">
      <c r="A203" s="49"/>
      <c r="B203" s="49"/>
      <c r="I203" s="46"/>
      <c r="J203" s="46"/>
      <c r="K203" s="46"/>
      <c r="L203" s="76"/>
      <c r="M203" s="64"/>
      <c r="N203" s="53"/>
      <c r="O203" s="53"/>
      <c r="P203" s="53"/>
      <c r="Q203" s="53"/>
      <c r="R203" s="53"/>
      <c r="S203" s="53"/>
      <c r="T203" s="72"/>
    </row>
    <row r="204" spans="1:20" x14ac:dyDescent="0.3">
      <c r="A204" s="110"/>
      <c r="B204" s="49"/>
      <c r="I204" s="46"/>
      <c r="J204" s="46"/>
      <c r="K204" s="46"/>
      <c r="L204" s="76"/>
      <c r="M204" s="64"/>
      <c r="N204" s="53"/>
      <c r="O204" s="53"/>
      <c r="P204" s="53"/>
      <c r="Q204" s="53"/>
      <c r="R204" s="53"/>
      <c r="S204" s="53"/>
      <c r="T204" s="72"/>
    </row>
    <row r="205" spans="1:20" x14ac:dyDescent="0.3">
      <c r="A205" s="49"/>
      <c r="B205" s="49"/>
      <c r="I205" s="46"/>
      <c r="J205" s="46"/>
      <c r="K205" s="46"/>
      <c r="L205" s="76"/>
      <c r="M205" s="64"/>
      <c r="N205" s="53"/>
      <c r="O205" s="53"/>
      <c r="P205" s="53"/>
      <c r="Q205" s="53"/>
      <c r="R205" s="53"/>
      <c r="S205" s="53"/>
      <c r="T205" s="72"/>
    </row>
    <row r="206" spans="1:20" x14ac:dyDescent="0.3">
      <c r="A206" s="110"/>
      <c r="B206" s="49"/>
      <c r="I206" s="46"/>
      <c r="J206" s="46"/>
      <c r="K206" s="46"/>
      <c r="L206" s="76"/>
      <c r="M206" s="64"/>
      <c r="N206" s="53"/>
      <c r="O206" s="53"/>
      <c r="P206" s="53"/>
      <c r="Q206" s="53"/>
      <c r="R206" s="53"/>
      <c r="S206" s="53"/>
      <c r="T206" s="72"/>
    </row>
    <row r="207" spans="1:20" x14ac:dyDescent="0.3">
      <c r="A207" s="49"/>
      <c r="B207" s="49"/>
      <c r="I207" s="46"/>
      <c r="J207" s="46"/>
      <c r="K207" s="46"/>
      <c r="L207" s="76"/>
      <c r="M207" s="64"/>
      <c r="N207" s="53"/>
      <c r="O207" s="53"/>
      <c r="P207" s="53"/>
      <c r="Q207" s="53"/>
      <c r="R207" s="53"/>
      <c r="S207" s="53"/>
      <c r="T207" s="72"/>
    </row>
    <row r="208" spans="1:20" x14ac:dyDescent="0.3">
      <c r="A208" s="110"/>
      <c r="B208" s="49"/>
      <c r="I208" s="46"/>
      <c r="J208" s="46"/>
      <c r="K208" s="46"/>
      <c r="L208" s="76"/>
      <c r="M208" s="64"/>
      <c r="N208" s="53"/>
      <c r="O208" s="53"/>
      <c r="P208" s="53"/>
      <c r="Q208" s="53"/>
      <c r="R208" s="53"/>
      <c r="S208" s="53"/>
      <c r="T208" s="72"/>
    </row>
    <row r="209" spans="1:20" x14ac:dyDescent="0.3">
      <c r="A209" s="49"/>
      <c r="B209" s="49"/>
      <c r="I209" s="46"/>
      <c r="J209" s="46"/>
      <c r="K209" s="46"/>
      <c r="L209" s="76"/>
      <c r="M209" s="64"/>
      <c r="N209" s="53"/>
      <c r="O209" s="53"/>
      <c r="P209" s="53"/>
      <c r="Q209" s="53"/>
      <c r="R209" s="53"/>
      <c r="S209" s="53"/>
      <c r="T209" s="72"/>
    </row>
    <row r="210" spans="1:20" x14ac:dyDescent="0.3">
      <c r="A210" s="110"/>
      <c r="B210" s="49"/>
      <c r="I210" s="46"/>
      <c r="J210" s="46"/>
      <c r="K210" s="46"/>
      <c r="L210" s="76"/>
      <c r="M210" s="64"/>
      <c r="N210" s="53"/>
      <c r="O210" s="53"/>
      <c r="P210" s="53"/>
      <c r="Q210" s="53"/>
      <c r="R210" s="53"/>
      <c r="S210" s="53"/>
      <c r="T210" s="72"/>
    </row>
    <row r="211" spans="1:20" x14ac:dyDescent="0.3">
      <c r="A211" s="49"/>
      <c r="B211" s="49"/>
      <c r="I211" s="46"/>
      <c r="J211" s="46"/>
      <c r="K211" s="46"/>
      <c r="L211" s="76"/>
      <c r="M211" s="64"/>
      <c r="N211" s="53"/>
      <c r="O211" s="53"/>
      <c r="P211" s="53"/>
      <c r="Q211" s="53"/>
      <c r="R211" s="53"/>
      <c r="S211" s="53"/>
      <c r="T211" s="72"/>
    </row>
    <row r="212" spans="1:20" x14ac:dyDescent="0.3">
      <c r="A212" s="110"/>
      <c r="B212" s="49"/>
      <c r="I212" s="46"/>
      <c r="J212" s="46"/>
      <c r="K212" s="46"/>
      <c r="L212" s="76"/>
      <c r="M212" s="64"/>
      <c r="N212" s="53"/>
      <c r="O212" s="53"/>
      <c r="P212" s="53"/>
      <c r="Q212" s="53"/>
      <c r="R212" s="53"/>
      <c r="S212" s="53"/>
      <c r="T212" s="72"/>
    </row>
    <row r="213" spans="1:20" x14ac:dyDescent="0.3">
      <c r="A213" s="49"/>
      <c r="B213" s="49"/>
      <c r="I213" s="46"/>
      <c r="J213" s="46"/>
      <c r="K213" s="46"/>
      <c r="L213" s="76"/>
      <c r="M213" s="64"/>
      <c r="N213" s="53"/>
      <c r="O213" s="53"/>
      <c r="P213" s="53"/>
      <c r="Q213" s="53"/>
      <c r="R213" s="53"/>
      <c r="S213" s="53"/>
      <c r="T213" s="72"/>
    </row>
    <row r="214" spans="1:20" x14ac:dyDescent="0.3">
      <c r="A214" s="110"/>
      <c r="B214" s="49"/>
      <c r="I214" s="46"/>
      <c r="J214" s="46"/>
      <c r="K214" s="46"/>
      <c r="L214" s="76"/>
      <c r="M214" s="64"/>
      <c r="N214" s="53"/>
      <c r="O214" s="53"/>
      <c r="P214" s="53"/>
      <c r="Q214" s="53"/>
      <c r="R214" s="53"/>
      <c r="S214" s="53"/>
      <c r="T214" s="72"/>
    </row>
    <row r="215" spans="1:20" x14ac:dyDescent="0.3">
      <c r="A215" s="49"/>
      <c r="B215" s="49"/>
      <c r="D215" s="43"/>
      <c r="I215" s="46"/>
      <c r="J215" s="46"/>
      <c r="K215" s="46"/>
      <c r="L215" s="76"/>
      <c r="M215" s="64"/>
      <c r="N215" s="53"/>
      <c r="O215" s="53"/>
      <c r="P215" s="53"/>
      <c r="Q215" s="53"/>
      <c r="R215" s="53"/>
      <c r="S215" s="53"/>
      <c r="T215" s="72"/>
    </row>
    <row r="216" spans="1:20" x14ac:dyDescent="0.3">
      <c r="A216" s="110"/>
      <c r="B216" s="49"/>
      <c r="I216" s="46"/>
      <c r="J216" s="46"/>
      <c r="K216" s="46"/>
      <c r="L216" s="76"/>
      <c r="M216" s="64"/>
      <c r="N216" s="53"/>
      <c r="O216" s="53"/>
      <c r="P216" s="53"/>
      <c r="Q216" s="53"/>
      <c r="R216" s="53"/>
      <c r="S216" s="53"/>
      <c r="T216" s="72"/>
    </row>
    <row r="217" spans="1:20" x14ac:dyDescent="0.3">
      <c r="A217" s="49"/>
      <c r="B217" s="49"/>
      <c r="D217" s="43"/>
      <c r="I217" s="46"/>
      <c r="J217" s="46"/>
      <c r="K217" s="46"/>
      <c r="L217" s="76"/>
      <c r="M217" s="64"/>
      <c r="N217" s="53"/>
      <c r="O217" s="53"/>
      <c r="P217" s="53"/>
      <c r="Q217" s="53"/>
      <c r="R217" s="53"/>
      <c r="S217" s="53"/>
      <c r="T217" s="72"/>
    </row>
    <row r="218" spans="1:20" x14ac:dyDescent="0.3">
      <c r="A218" s="110"/>
      <c r="B218" s="49"/>
      <c r="I218" s="46"/>
      <c r="J218" s="46"/>
      <c r="K218" s="46"/>
      <c r="L218" s="76"/>
      <c r="M218" s="64"/>
      <c r="N218" s="53"/>
      <c r="O218" s="53"/>
      <c r="P218" s="53"/>
      <c r="Q218" s="53"/>
      <c r="R218" s="53"/>
      <c r="S218" s="53"/>
      <c r="T218" s="72"/>
    </row>
    <row r="219" spans="1:20" x14ac:dyDescent="0.3">
      <c r="A219" s="49"/>
      <c r="B219" s="49"/>
      <c r="I219" s="46"/>
      <c r="J219" s="46"/>
      <c r="K219" s="46"/>
      <c r="L219" s="76"/>
      <c r="M219" s="64"/>
      <c r="N219" s="53"/>
      <c r="O219" s="53"/>
      <c r="P219" s="53"/>
      <c r="Q219" s="53"/>
      <c r="R219" s="53"/>
      <c r="S219" s="53"/>
      <c r="T219" s="72"/>
    </row>
    <row r="220" spans="1:20" x14ac:dyDescent="0.3">
      <c r="A220" s="110"/>
      <c r="B220" s="49"/>
      <c r="I220" s="46"/>
      <c r="J220" s="46"/>
      <c r="K220" s="46"/>
      <c r="L220" s="76"/>
      <c r="M220" s="64"/>
      <c r="N220" s="53"/>
      <c r="O220" s="53"/>
      <c r="P220" s="53"/>
      <c r="Q220" s="53"/>
      <c r="R220" s="53"/>
      <c r="S220" s="53"/>
      <c r="T220" s="72"/>
    </row>
    <row r="221" spans="1:20" x14ac:dyDescent="0.3">
      <c r="A221" s="49"/>
      <c r="B221" s="49"/>
      <c r="I221" s="46"/>
      <c r="J221" s="46"/>
      <c r="K221" s="46"/>
      <c r="L221" s="76"/>
      <c r="M221" s="64"/>
      <c r="N221" s="53"/>
      <c r="O221" s="53"/>
      <c r="P221" s="53"/>
      <c r="Q221" s="53"/>
      <c r="R221" s="53"/>
      <c r="S221" s="53"/>
      <c r="T221" s="72"/>
    </row>
    <row r="222" spans="1:20" x14ac:dyDescent="0.3">
      <c r="A222" s="110"/>
      <c r="B222" s="49"/>
      <c r="I222" s="46"/>
      <c r="J222" s="46"/>
      <c r="K222" s="46"/>
      <c r="L222" s="76"/>
      <c r="M222" s="64"/>
      <c r="N222" s="53"/>
      <c r="O222" s="53"/>
      <c r="P222" s="53"/>
      <c r="Q222" s="53"/>
      <c r="R222" s="53"/>
      <c r="S222" s="53"/>
      <c r="T222" s="72"/>
    </row>
    <row r="223" spans="1:20" x14ac:dyDescent="0.3">
      <c r="A223" s="67"/>
      <c r="B223" s="67"/>
      <c r="I223" s="46"/>
      <c r="J223" s="46"/>
      <c r="K223" s="46"/>
      <c r="L223" s="76"/>
      <c r="M223" s="64"/>
      <c r="N223" s="53"/>
      <c r="O223" s="53"/>
      <c r="P223" s="53"/>
      <c r="Q223" s="53"/>
      <c r="R223" s="53"/>
      <c r="S223" s="53"/>
      <c r="T223" s="72"/>
    </row>
    <row r="224" spans="1:20" x14ac:dyDescent="0.3">
      <c r="A224" s="110"/>
      <c r="B224" s="49"/>
      <c r="D224" s="43"/>
      <c r="I224" s="46"/>
      <c r="J224" s="46"/>
      <c r="K224" s="46"/>
      <c r="L224" s="76"/>
      <c r="M224" s="64"/>
      <c r="N224" s="53"/>
      <c r="O224" s="53"/>
      <c r="P224" s="53"/>
      <c r="Q224" s="53"/>
      <c r="R224" s="53"/>
      <c r="S224" s="53"/>
      <c r="T224" s="72"/>
    </row>
    <row r="225" spans="1:20" x14ac:dyDescent="0.3">
      <c r="A225" s="49"/>
      <c r="B225" s="49"/>
      <c r="I225" s="46"/>
      <c r="J225" s="46"/>
      <c r="K225" s="46"/>
      <c r="L225" s="76"/>
      <c r="M225" s="64"/>
      <c r="N225" s="53"/>
      <c r="O225" s="53"/>
      <c r="P225" s="53"/>
      <c r="Q225" s="53"/>
      <c r="R225" s="53"/>
      <c r="S225" s="53"/>
      <c r="T225" s="72"/>
    </row>
    <row r="226" spans="1:20" x14ac:dyDescent="0.3">
      <c r="A226" s="110"/>
      <c r="B226" s="49"/>
      <c r="I226" s="46"/>
      <c r="J226" s="46"/>
      <c r="K226" s="46"/>
      <c r="L226" s="76"/>
      <c r="M226" s="64"/>
      <c r="N226" s="53"/>
      <c r="O226" s="53"/>
      <c r="P226" s="53"/>
      <c r="Q226" s="53"/>
      <c r="R226" s="53"/>
      <c r="S226" s="53"/>
      <c r="T226" s="72"/>
    </row>
    <row r="227" spans="1:20" x14ac:dyDescent="0.3">
      <c r="A227" s="49"/>
      <c r="B227" s="49"/>
      <c r="I227" s="46"/>
      <c r="J227" s="46"/>
      <c r="K227" s="46"/>
      <c r="L227" s="76"/>
      <c r="M227" s="64"/>
      <c r="N227" s="53"/>
      <c r="O227" s="53"/>
      <c r="P227" s="53"/>
      <c r="Q227" s="53"/>
      <c r="R227" s="53"/>
      <c r="S227" s="53"/>
      <c r="T227" s="72"/>
    </row>
    <row r="228" spans="1:20" x14ac:dyDescent="0.3">
      <c r="A228" s="110"/>
      <c r="B228" s="49"/>
      <c r="I228" s="46"/>
      <c r="J228" s="46"/>
      <c r="K228" s="46"/>
      <c r="L228" s="76"/>
      <c r="M228" s="64"/>
      <c r="N228" s="53"/>
      <c r="O228" s="53"/>
      <c r="P228" s="53"/>
      <c r="Q228" s="53"/>
      <c r="R228" s="53"/>
      <c r="S228" s="53"/>
      <c r="T228" s="72"/>
    </row>
    <row r="229" spans="1:20" x14ac:dyDescent="0.3">
      <c r="A229" s="49"/>
      <c r="B229" s="49"/>
      <c r="I229" s="46"/>
      <c r="J229" s="46"/>
      <c r="K229" s="46"/>
      <c r="L229" s="76"/>
      <c r="M229" s="64"/>
      <c r="N229" s="53"/>
      <c r="O229" s="53"/>
      <c r="P229" s="53"/>
      <c r="Q229" s="53"/>
      <c r="R229" s="53"/>
      <c r="S229" s="53"/>
      <c r="T229" s="72"/>
    </row>
    <row r="230" spans="1:20" x14ac:dyDescent="0.3">
      <c r="A230" s="111"/>
      <c r="B230" s="67"/>
      <c r="I230" s="46"/>
      <c r="J230" s="46"/>
      <c r="K230" s="46"/>
      <c r="L230" s="76"/>
      <c r="M230" s="64"/>
      <c r="N230" s="53"/>
      <c r="O230" s="53"/>
      <c r="P230" s="53"/>
      <c r="Q230" s="53"/>
      <c r="R230" s="53"/>
      <c r="S230" s="53"/>
      <c r="T230" s="72"/>
    </row>
    <row r="231" spans="1:20" x14ac:dyDescent="0.3">
      <c r="A231" s="49"/>
      <c r="B231" s="49"/>
      <c r="I231" s="46"/>
      <c r="J231" s="46"/>
      <c r="K231" s="46"/>
      <c r="L231" s="76"/>
      <c r="M231" s="64"/>
      <c r="N231" s="53"/>
      <c r="O231" s="53"/>
      <c r="P231" s="53"/>
      <c r="Q231" s="53"/>
      <c r="R231" s="53"/>
      <c r="S231" s="53"/>
      <c r="T231" s="72"/>
    </row>
    <row r="232" spans="1:20" x14ac:dyDescent="0.3">
      <c r="A232" s="110"/>
      <c r="B232" s="49"/>
      <c r="I232" s="46"/>
      <c r="J232" s="46"/>
      <c r="K232" s="46"/>
      <c r="L232" s="76"/>
      <c r="M232" s="64"/>
      <c r="N232" s="53"/>
      <c r="O232" s="53"/>
      <c r="P232" s="53"/>
      <c r="Q232" s="53"/>
      <c r="R232" s="53"/>
      <c r="S232" s="53"/>
      <c r="T232" s="72"/>
    </row>
    <row r="233" spans="1:20" x14ac:dyDescent="0.3">
      <c r="A233" s="49"/>
      <c r="B233" s="49"/>
      <c r="D233" s="43"/>
      <c r="I233" s="46"/>
      <c r="J233" s="46"/>
      <c r="K233" s="46"/>
      <c r="L233" s="76"/>
      <c r="M233" s="64"/>
      <c r="N233" s="53"/>
      <c r="O233" s="53"/>
      <c r="P233" s="53"/>
      <c r="Q233" s="53"/>
      <c r="R233" s="53"/>
      <c r="S233" s="53"/>
      <c r="T233" s="72"/>
    </row>
    <row r="234" spans="1:20" x14ac:dyDescent="0.3">
      <c r="A234" s="110"/>
      <c r="B234" s="49"/>
      <c r="D234" s="43"/>
      <c r="I234" s="46"/>
      <c r="J234" s="46"/>
      <c r="K234" s="46"/>
      <c r="L234" s="76"/>
      <c r="M234" s="64"/>
      <c r="N234" s="53"/>
      <c r="O234" s="53"/>
      <c r="P234" s="53"/>
      <c r="Q234" s="53"/>
      <c r="R234" s="53"/>
      <c r="S234" s="53"/>
      <c r="T234" s="72"/>
    </row>
    <row r="235" spans="1:20" x14ac:dyDescent="0.3">
      <c r="A235" s="49"/>
      <c r="B235" s="49"/>
      <c r="D235" s="43"/>
      <c r="I235" s="46"/>
      <c r="J235" s="46"/>
      <c r="K235" s="46"/>
      <c r="L235" s="76"/>
      <c r="M235" s="64"/>
      <c r="N235" s="53"/>
      <c r="O235" s="53"/>
      <c r="P235" s="53"/>
      <c r="Q235" s="53"/>
      <c r="R235" s="53"/>
      <c r="S235" s="53"/>
      <c r="T235" s="72"/>
    </row>
    <row r="236" spans="1:20" x14ac:dyDescent="0.3">
      <c r="A236" s="110"/>
      <c r="B236" s="49"/>
      <c r="I236" s="46"/>
      <c r="J236" s="46"/>
      <c r="K236" s="46"/>
      <c r="L236" s="76"/>
      <c r="M236" s="64"/>
      <c r="N236" s="53"/>
      <c r="O236" s="53"/>
      <c r="P236" s="53"/>
      <c r="Q236" s="53"/>
      <c r="R236" s="53"/>
      <c r="S236" s="53"/>
      <c r="T236" s="72"/>
    </row>
    <row r="237" spans="1:20" x14ac:dyDescent="0.3">
      <c r="A237" s="49"/>
      <c r="B237" s="49"/>
      <c r="D237" s="43"/>
      <c r="I237" s="46"/>
      <c r="J237" s="46"/>
      <c r="K237" s="46"/>
      <c r="L237" s="76"/>
      <c r="M237" s="64"/>
      <c r="N237" s="53"/>
      <c r="O237" s="53"/>
      <c r="P237" s="53"/>
      <c r="Q237" s="53"/>
      <c r="R237" s="53"/>
      <c r="S237" s="53"/>
      <c r="T237" s="72"/>
    </row>
    <row r="238" spans="1:20" x14ac:dyDescent="0.3">
      <c r="A238" s="110"/>
      <c r="B238" s="49"/>
      <c r="I238" s="46"/>
      <c r="J238" s="46"/>
      <c r="K238" s="46"/>
      <c r="L238" s="76"/>
      <c r="M238" s="64"/>
      <c r="N238" s="53"/>
      <c r="O238" s="53"/>
      <c r="P238" s="53"/>
      <c r="Q238" s="53"/>
      <c r="R238" s="53"/>
      <c r="S238" s="53"/>
      <c r="T238" s="72"/>
    </row>
    <row r="239" spans="1:20" x14ac:dyDescent="0.3">
      <c r="A239" s="49"/>
      <c r="B239" s="49"/>
      <c r="I239" s="46"/>
      <c r="J239" s="46"/>
      <c r="K239" s="46"/>
      <c r="L239" s="76"/>
      <c r="M239" s="64"/>
      <c r="N239" s="53"/>
      <c r="O239" s="53"/>
      <c r="P239" s="53"/>
      <c r="Q239" s="53"/>
      <c r="R239" s="53"/>
      <c r="S239" s="53"/>
      <c r="T239" s="72"/>
    </row>
    <row r="240" spans="1:20" x14ac:dyDescent="0.3">
      <c r="A240" s="110"/>
      <c r="B240" s="49"/>
      <c r="I240" s="46"/>
      <c r="J240" s="46"/>
      <c r="K240" s="46"/>
      <c r="L240" s="76"/>
      <c r="M240" s="64"/>
      <c r="N240" s="53"/>
      <c r="O240" s="53"/>
      <c r="P240" s="53"/>
      <c r="Q240" s="53"/>
      <c r="R240" s="53"/>
      <c r="S240" s="53"/>
      <c r="T240" s="72"/>
    </row>
    <row r="241" spans="1:20" x14ac:dyDescent="0.3">
      <c r="A241" s="67"/>
      <c r="B241" s="67"/>
      <c r="I241" s="46"/>
      <c r="J241" s="46"/>
      <c r="K241" s="46"/>
      <c r="L241" s="76"/>
      <c r="M241" s="64"/>
      <c r="N241" s="53"/>
      <c r="O241" s="53"/>
      <c r="P241" s="53"/>
      <c r="Q241" s="53"/>
      <c r="R241" s="53"/>
      <c r="S241" s="53"/>
      <c r="T241" s="72"/>
    </row>
    <row r="242" spans="1:20" x14ac:dyDescent="0.3">
      <c r="A242" s="107"/>
      <c r="B242" s="107"/>
      <c r="I242" s="46"/>
      <c r="J242" s="46"/>
      <c r="K242" s="46"/>
      <c r="L242" s="76"/>
      <c r="M242" s="64"/>
      <c r="N242" s="53"/>
      <c r="O242" s="53"/>
      <c r="P242" s="53"/>
      <c r="Q242" s="53"/>
      <c r="R242" s="53"/>
      <c r="S242" s="53"/>
      <c r="T242" s="72"/>
    </row>
    <row r="243" spans="1:20" x14ac:dyDescent="0.3">
      <c r="A243" s="49"/>
      <c r="B243" s="49"/>
      <c r="I243" s="46"/>
      <c r="J243" s="46"/>
      <c r="K243" s="46"/>
      <c r="L243" s="76"/>
      <c r="M243" s="64"/>
      <c r="N243" s="53"/>
      <c r="O243" s="53"/>
      <c r="P243" s="53"/>
      <c r="Q243" s="53"/>
      <c r="R243" s="53"/>
      <c r="S243" s="53"/>
      <c r="T243" s="72"/>
    </row>
    <row r="244" spans="1:20" x14ac:dyDescent="0.3">
      <c r="A244" s="110"/>
      <c r="B244" s="49"/>
      <c r="D244" s="43"/>
      <c r="I244" s="46"/>
      <c r="J244" s="46"/>
      <c r="K244" s="46"/>
      <c r="L244" s="76"/>
      <c r="M244" s="64"/>
      <c r="N244" s="53"/>
      <c r="O244" s="53"/>
      <c r="P244" s="53"/>
      <c r="Q244" s="53"/>
      <c r="R244" s="53"/>
      <c r="S244" s="53"/>
      <c r="T244" s="72"/>
    </row>
    <row r="245" spans="1:20" x14ac:dyDescent="0.3">
      <c r="A245" s="49"/>
      <c r="B245" s="49"/>
      <c r="I245" s="46"/>
      <c r="J245" s="46"/>
      <c r="K245" s="46"/>
      <c r="L245" s="76"/>
      <c r="M245" s="64"/>
      <c r="N245" s="53"/>
      <c r="O245" s="53"/>
      <c r="P245" s="53"/>
      <c r="Q245" s="53"/>
      <c r="R245" s="53"/>
      <c r="S245" s="53"/>
      <c r="T245" s="72"/>
    </row>
    <row r="246" spans="1:20" x14ac:dyDescent="0.3">
      <c r="A246" s="110"/>
      <c r="B246" s="49"/>
      <c r="I246" s="46"/>
      <c r="J246" s="46"/>
      <c r="K246" s="46"/>
      <c r="L246" s="76"/>
      <c r="M246" s="64"/>
      <c r="N246" s="53"/>
      <c r="O246" s="53"/>
      <c r="P246" s="53"/>
      <c r="Q246" s="53"/>
      <c r="R246" s="53"/>
      <c r="S246" s="53"/>
      <c r="T246" s="72"/>
    </row>
    <row r="247" spans="1:20" x14ac:dyDescent="0.3">
      <c r="A247" s="49"/>
      <c r="B247" s="49"/>
      <c r="I247" s="46"/>
      <c r="J247" s="46"/>
      <c r="K247" s="46"/>
      <c r="L247" s="76"/>
      <c r="M247" s="64"/>
      <c r="N247" s="53"/>
      <c r="O247" s="53"/>
      <c r="P247" s="53"/>
      <c r="Q247" s="53"/>
      <c r="R247" s="53"/>
      <c r="S247" s="53"/>
      <c r="T247" s="72"/>
    </row>
    <row r="248" spans="1:20" x14ac:dyDescent="0.3">
      <c r="A248" s="110"/>
      <c r="B248" s="49"/>
      <c r="I248" s="46"/>
      <c r="J248" s="46"/>
      <c r="K248" s="46"/>
      <c r="L248" s="76"/>
      <c r="M248" s="64"/>
      <c r="N248" s="53"/>
      <c r="O248" s="53"/>
      <c r="P248" s="53"/>
      <c r="Q248" s="53"/>
      <c r="R248" s="53"/>
      <c r="S248" s="53"/>
      <c r="T248" s="72"/>
    </row>
    <row r="249" spans="1:20" x14ac:dyDescent="0.3">
      <c r="A249" s="49"/>
      <c r="B249" s="49"/>
      <c r="I249" s="46"/>
      <c r="J249" s="46"/>
      <c r="K249" s="46"/>
      <c r="L249" s="76"/>
      <c r="M249" s="64"/>
      <c r="N249" s="53"/>
      <c r="O249" s="53"/>
      <c r="P249" s="53"/>
      <c r="Q249" s="53"/>
      <c r="R249" s="53"/>
      <c r="S249" s="53"/>
      <c r="T249" s="72"/>
    </row>
    <row r="250" spans="1:20" x14ac:dyDescent="0.3">
      <c r="A250" s="110"/>
      <c r="B250" s="49"/>
      <c r="I250" s="46"/>
      <c r="J250" s="46"/>
      <c r="K250" s="46"/>
      <c r="L250" s="76"/>
      <c r="M250" s="64"/>
      <c r="N250" s="53"/>
      <c r="O250" s="53"/>
      <c r="P250" s="53"/>
      <c r="Q250" s="53"/>
      <c r="R250" s="53"/>
      <c r="S250" s="53"/>
      <c r="T250" s="72"/>
    </row>
    <row r="251" spans="1:20" x14ac:dyDescent="0.3">
      <c r="A251" s="49"/>
      <c r="B251" s="49"/>
      <c r="I251" s="46"/>
      <c r="J251" s="46"/>
      <c r="K251" s="46"/>
      <c r="L251" s="76"/>
      <c r="M251" s="64"/>
      <c r="N251" s="53"/>
      <c r="O251" s="53"/>
      <c r="P251" s="53"/>
      <c r="Q251" s="53"/>
      <c r="R251" s="53"/>
      <c r="S251" s="53"/>
      <c r="T251" s="72"/>
    </row>
    <row r="252" spans="1:20" x14ac:dyDescent="0.3">
      <c r="A252" s="110"/>
      <c r="B252" s="49"/>
      <c r="I252" s="46"/>
      <c r="J252" s="46"/>
      <c r="K252" s="46"/>
      <c r="L252" s="76"/>
      <c r="M252" s="64"/>
      <c r="N252" s="53"/>
      <c r="O252" s="53"/>
      <c r="P252" s="53"/>
      <c r="Q252" s="53"/>
      <c r="R252" s="53"/>
      <c r="S252" s="53"/>
      <c r="T252" s="72"/>
    </row>
    <row r="253" spans="1:20" x14ac:dyDescent="0.3">
      <c r="A253" s="49"/>
      <c r="B253" s="49"/>
      <c r="I253" s="46"/>
      <c r="J253" s="46"/>
      <c r="K253" s="46"/>
      <c r="L253" s="76"/>
      <c r="M253" s="64"/>
      <c r="N253" s="53"/>
      <c r="O253" s="53"/>
      <c r="P253" s="53"/>
      <c r="Q253" s="53"/>
      <c r="R253" s="53"/>
      <c r="S253" s="53"/>
      <c r="T253" s="72"/>
    </row>
    <row r="254" spans="1:20" x14ac:dyDescent="0.3">
      <c r="A254" s="110"/>
      <c r="B254" s="49"/>
      <c r="I254" s="46"/>
      <c r="J254" s="46"/>
      <c r="K254" s="46"/>
      <c r="L254" s="76"/>
      <c r="M254" s="64"/>
      <c r="N254" s="53"/>
      <c r="O254" s="53"/>
      <c r="P254" s="53"/>
      <c r="Q254" s="53"/>
      <c r="R254" s="53"/>
      <c r="S254" s="53"/>
      <c r="T254" s="72"/>
    </row>
    <row r="255" spans="1:20" x14ac:dyDescent="0.3">
      <c r="A255" s="49"/>
      <c r="B255" s="49"/>
      <c r="I255" s="46"/>
      <c r="J255" s="46"/>
      <c r="K255" s="46"/>
      <c r="L255" s="76"/>
      <c r="M255" s="64"/>
      <c r="N255" s="53"/>
      <c r="O255" s="53"/>
      <c r="P255" s="53"/>
      <c r="Q255" s="53"/>
      <c r="R255" s="53"/>
      <c r="S255" s="53"/>
      <c r="T255" s="72"/>
    </row>
    <row r="256" spans="1:20" x14ac:dyDescent="0.3">
      <c r="A256" s="110"/>
      <c r="B256" s="49"/>
      <c r="I256" s="46"/>
      <c r="J256" s="46"/>
      <c r="K256" s="46"/>
      <c r="L256" s="76"/>
      <c r="M256" s="64"/>
      <c r="N256" s="53"/>
      <c r="O256" s="53"/>
      <c r="P256" s="53"/>
      <c r="Q256" s="53"/>
      <c r="R256" s="53"/>
      <c r="S256" s="53"/>
      <c r="T256" s="72"/>
    </row>
    <row r="257" spans="1:20" ht="15.6" x14ac:dyDescent="0.3">
      <c r="A257" s="49"/>
      <c r="B257" s="49"/>
      <c r="I257" s="46"/>
      <c r="J257" s="46"/>
      <c r="K257" s="46"/>
      <c r="L257" s="76"/>
      <c r="M257" s="64"/>
      <c r="N257" s="53"/>
      <c r="O257" s="53"/>
      <c r="P257" s="53"/>
      <c r="Q257" s="53"/>
      <c r="R257" s="53"/>
      <c r="S257" s="53"/>
      <c r="T257" s="109"/>
    </row>
    <row r="258" spans="1:20" ht="15.6" x14ac:dyDescent="0.3">
      <c r="A258" s="110"/>
      <c r="B258" s="49"/>
      <c r="I258" s="46"/>
      <c r="J258" s="46"/>
      <c r="K258" s="46"/>
      <c r="L258" s="76"/>
      <c r="M258" s="64"/>
      <c r="N258" s="53"/>
      <c r="O258" s="53"/>
      <c r="P258" s="53"/>
      <c r="Q258" s="53"/>
      <c r="R258" s="53"/>
      <c r="S258" s="53"/>
      <c r="T258" s="92"/>
    </row>
    <row r="259" spans="1:20" ht="15.6" x14ac:dyDescent="0.3">
      <c r="A259" s="49"/>
      <c r="B259" s="49"/>
      <c r="I259" s="46"/>
      <c r="J259" s="46"/>
      <c r="K259" s="46"/>
      <c r="L259" s="76"/>
      <c r="M259" s="64"/>
      <c r="N259" s="53"/>
      <c r="O259" s="53"/>
      <c r="P259" s="53"/>
      <c r="Q259" s="53"/>
      <c r="R259" s="53"/>
      <c r="S259" s="53"/>
      <c r="T259" s="93"/>
    </row>
    <row r="260" spans="1:20" ht="15.6" x14ac:dyDescent="0.3">
      <c r="A260" s="110"/>
      <c r="B260" s="49"/>
      <c r="I260" s="46"/>
      <c r="J260" s="46"/>
      <c r="K260" s="46"/>
      <c r="L260" s="76"/>
      <c r="M260" s="64"/>
      <c r="N260" s="53"/>
      <c r="O260" s="53"/>
      <c r="P260" s="53"/>
      <c r="Q260" s="53"/>
      <c r="R260" s="53"/>
      <c r="S260" s="53"/>
      <c r="T260" s="93"/>
    </row>
    <row r="261" spans="1:20" ht="15.6" x14ac:dyDescent="0.3">
      <c r="A261" s="49"/>
      <c r="B261" s="49"/>
      <c r="I261" s="46"/>
      <c r="J261" s="46"/>
      <c r="K261" s="46"/>
      <c r="L261" s="76"/>
      <c r="M261" s="64"/>
      <c r="N261" s="53"/>
      <c r="O261" s="53"/>
      <c r="P261" s="53"/>
      <c r="Q261" s="53"/>
      <c r="R261" s="53"/>
      <c r="S261" s="53"/>
      <c r="T261" s="92"/>
    </row>
    <row r="262" spans="1:20" ht="15.6" x14ac:dyDescent="0.3">
      <c r="A262" s="110"/>
      <c r="B262" s="49"/>
      <c r="I262" s="46"/>
      <c r="J262" s="46"/>
      <c r="K262" s="46"/>
      <c r="L262" s="76"/>
      <c r="M262" s="64"/>
      <c r="N262" s="53"/>
      <c r="O262" s="53"/>
      <c r="P262" s="53"/>
      <c r="Q262" s="53"/>
      <c r="R262" s="53"/>
      <c r="S262" s="53"/>
      <c r="T262" s="93"/>
    </row>
    <row r="263" spans="1:20" ht="15.6" x14ac:dyDescent="0.3">
      <c r="A263" s="49"/>
      <c r="B263" s="49"/>
      <c r="I263" s="46"/>
      <c r="J263" s="46"/>
      <c r="K263" s="46"/>
      <c r="L263" s="76"/>
      <c r="M263" s="64"/>
      <c r="N263" s="53"/>
      <c r="O263" s="53"/>
      <c r="P263" s="53"/>
      <c r="Q263" s="53"/>
      <c r="R263" s="53"/>
      <c r="S263" s="53"/>
      <c r="T263" s="93"/>
    </row>
    <row r="264" spans="1:20" ht="15.6" x14ac:dyDescent="0.3">
      <c r="A264" s="110"/>
      <c r="B264" s="49"/>
      <c r="I264" s="46"/>
      <c r="J264" s="46"/>
      <c r="K264" s="46"/>
      <c r="L264" s="76"/>
      <c r="M264" s="64"/>
      <c r="N264" s="53"/>
      <c r="O264" s="53"/>
      <c r="P264" s="53"/>
      <c r="Q264" s="53"/>
      <c r="R264" s="53"/>
      <c r="S264" s="53"/>
      <c r="T264" s="93"/>
    </row>
    <row r="265" spans="1:20" ht="15.6" x14ac:dyDescent="0.3">
      <c r="A265" s="49"/>
      <c r="B265" s="49"/>
      <c r="I265" s="46"/>
      <c r="J265" s="46"/>
      <c r="K265" s="46"/>
      <c r="L265" s="76"/>
      <c r="M265" s="64"/>
      <c r="N265" s="53"/>
      <c r="O265" s="53"/>
      <c r="P265" s="53"/>
      <c r="Q265" s="53"/>
      <c r="R265" s="53"/>
      <c r="S265" s="53"/>
      <c r="T265" s="92"/>
    </row>
    <row r="266" spans="1:20" ht="14.4" customHeight="1" x14ac:dyDescent="0.3">
      <c r="A266" s="110"/>
      <c r="B266" s="49"/>
      <c r="D266" s="43"/>
      <c r="I266" s="46"/>
      <c r="J266" s="46"/>
      <c r="K266" s="46"/>
      <c r="L266" s="76"/>
      <c r="M266" s="64"/>
      <c r="N266" s="53"/>
      <c r="O266" s="53"/>
      <c r="P266" s="53"/>
      <c r="Q266" s="53"/>
      <c r="R266" s="53"/>
      <c r="S266" s="53"/>
      <c r="T266" s="72"/>
    </row>
    <row r="267" spans="1:20" ht="15.6" x14ac:dyDescent="0.3">
      <c r="A267" s="49"/>
      <c r="B267" s="49"/>
      <c r="I267" s="46"/>
      <c r="J267" s="46"/>
      <c r="K267" s="46"/>
      <c r="L267" s="76"/>
      <c r="M267" s="64"/>
      <c r="N267" s="53"/>
      <c r="O267" s="53"/>
      <c r="P267" s="53"/>
      <c r="Q267" s="53"/>
      <c r="R267" s="53"/>
      <c r="S267" s="53"/>
      <c r="T267" s="92"/>
    </row>
    <row r="268" spans="1:20" ht="15.6" x14ac:dyDescent="0.3">
      <c r="A268" s="110"/>
      <c r="B268" s="49"/>
      <c r="I268" s="46"/>
      <c r="J268" s="46"/>
      <c r="K268" s="46"/>
      <c r="L268" s="76"/>
      <c r="M268" s="64"/>
      <c r="N268" s="53"/>
      <c r="O268" s="53"/>
      <c r="P268" s="53"/>
      <c r="Q268" s="53"/>
      <c r="R268" s="53"/>
      <c r="S268" s="53"/>
      <c r="T268" s="93"/>
    </row>
    <row r="269" spans="1:20" ht="15.6" x14ac:dyDescent="0.3">
      <c r="A269" s="49"/>
      <c r="B269" s="49"/>
      <c r="I269" s="46"/>
      <c r="J269" s="46"/>
      <c r="K269" s="46"/>
      <c r="L269" s="76"/>
      <c r="M269" s="64"/>
      <c r="N269" s="53"/>
      <c r="O269" s="53"/>
      <c r="P269" s="53"/>
      <c r="Q269" s="53"/>
      <c r="R269" s="53"/>
      <c r="S269" s="53"/>
      <c r="T269" s="93"/>
    </row>
    <row r="270" spans="1:20" ht="14.4" customHeight="1" x14ac:dyDescent="0.3">
      <c r="A270" s="110"/>
      <c r="B270" s="49"/>
      <c r="D270" s="43"/>
      <c r="I270" s="46"/>
      <c r="J270" s="46"/>
      <c r="K270" s="46"/>
      <c r="L270" s="76"/>
      <c r="M270" s="64"/>
      <c r="N270" s="53"/>
      <c r="O270" s="53"/>
      <c r="P270" s="53"/>
      <c r="Q270" s="53"/>
      <c r="R270" s="53"/>
      <c r="S270" s="53"/>
      <c r="T270" s="72"/>
    </row>
    <row r="271" spans="1:20" ht="15.6" x14ac:dyDescent="0.3">
      <c r="A271" s="49"/>
      <c r="B271" s="49"/>
      <c r="I271" s="46"/>
      <c r="J271" s="46"/>
      <c r="K271" s="46"/>
      <c r="L271" s="76"/>
      <c r="M271" s="64"/>
      <c r="N271" s="53"/>
      <c r="O271" s="53"/>
      <c r="P271" s="53"/>
      <c r="Q271" s="53"/>
      <c r="R271" s="53"/>
      <c r="S271" s="53"/>
      <c r="T271" s="92"/>
    </row>
    <row r="272" spans="1:20" ht="15.6" x14ac:dyDescent="0.3">
      <c r="A272" s="110"/>
      <c r="B272" s="49"/>
      <c r="I272" s="46"/>
      <c r="J272" s="46"/>
      <c r="K272" s="46"/>
      <c r="L272" s="76"/>
      <c r="M272" s="64"/>
      <c r="N272" s="53"/>
      <c r="O272" s="53"/>
      <c r="P272" s="53"/>
      <c r="Q272" s="53"/>
      <c r="R272" s="53"/>
      <c r="S272" s="53"/>
      <c r="T272" s="92"/>
    </row>
    <row r="273" spans="1:20" ht="15.6" x14ac:dyDescent="0.3">
      <c r="A273" s="49"/>
      <c r="B273" s="49"/>
      <c r="I273" s="46"/>
      <c r="J273" s="46"/>
      <c r="K273" s="46"/>
      <c r="L273" s="76"/>
      <c r="M273" s="64"/>
      <c r="N273" s="53"/>
      <c r="O273" s="53"/>
      <c r="P273" s="53"/>
      <c r="Q273" s="53"/>
      <c r="R273" s="53"/>
      <c r="S273" s="53"/>
      <c r="T273" s="93"/>
    </row>
    <row r="274" spans="1:20" ht="15.6" x14ac:dyDescent="0.3">
      <c r="A274" s="110"/>
      <c r="B274" s="49"/>
      <c r="I274" s="46"/>
      <c r="J274" s="46"/>
      <c r="K274" s="46"/>
      <c r="L274" s="76"/>
      <c r="M274" s="64"/>
      <c r="N274" s="53"/>
      <c r="O274" s="53"/>
      <c r="P274" s="53"/>
      <c r="Q274" s="53"/>
      <c r="R274" s="53"/>
      <c r="S274" s="53"/>
      <c r="T274" s="92"/>
    </row>
    <row r="275" spans="1:20" ht="14.4" customHeight="1" x14ac:dyDescent="0.3">
      <c r="A275" s="49"/>
      <c r="B275" s="49"/>
      <c r="I275" s="46"/>
      <c r="J275" s="46"/>
      <c r="K275" s="46"/>
      <c r="L275" s="76"/>
      <c r="M275" s="64"/>
      <c r="N275" s="53"/>
      <c r="O275" s="53"/>
      <c r="P275" s="53"/>
      <c r="Q275" s="53"/>
      <c r="R275" s="53"/>
      <c r="S275" s="53"/>
      <c r="T275" s="72"/>
    </row>
    <row r="276" spans="1:20" ht="15.6" x14ac:dyDescent="0.3">
      <c r="A276" s="110"/>
      <c r="B276" s="49"/>
      <c r="I276" s="46"/>
      <c r="J276" s="46"/>
      <c r="K276" s="46"/>
      <c r="L276" s="76"/>
      <c r="M276" s="64"/>
      <c r="N276" s="53"/>
      <c r="O276" s="53"/>
      <c r="P276" s="53"/>
      <c r="Q276" s="53"/>
      <c r="R276" s="53"/>
      <c r="S276" s="53"/>
      <c r="T276" s="92"/>
    </row>
    <row r="277" spans="1:20" ht="15.6" x14ac:dyDescent="0.3">
      <c r="A277" s="49"/>
      <c r="B277" s="49"/>
      <c r="I277" s="46"/>
      <c r="J277" s="46"/>
      <c r="K277" s="46"/>
      <c r="L277" s="76"/>
      <c r="M277" s="64"/>
      <c r="N277" s="53"/>
      <c r="O277" s="53"/>
      <c r="P277" s="53"/>
      <c r="Q277" s="53"/>
      <c r="R277" s="53"/>
      <c r="S277" s="53"/>
      <c r="T277" s="92"/>
    </row>
    <row r="278" spans="1:20" ht="15.6" x14ac:dyDescent="0.3">
      <c r="A278" s="110"/>
      <c r="B278" s="49"/>
      <c r="I278" s="46"/>
      <c r="J278" s="46"/>
      <c r="K278" s="46"/>
      <c r="L278" s="76"/>
      <c r="M278" s="64"/>
      <c r="N278" s="53"/>
      <c r="O278" s="53"/>
      <c r="P278" s="53"/>
      <c r="Q278" s="53"/>
      <c r="R278" s="53"/>
      <c r="S278" s="53"/>
      <c r="T278" s="93"/>
    </row>
    <row r="279" spans="1:20" ht="15.6" x14ac:dyDescent="0.3">
      <c r="A279" s="49"/>
      <c r="B279" s="49"/>
      <c r="I279" s="46"/>
      <c r="J279" s="46"/>
      <c r="K279" s="46"/>
      <c r="L279" s="76"/>
      <c r="M279" s="64"/>
      <c r="N279" s="53"/>
      <c r="O279" s="53"/>
      <c r="P279" s="53"/>
      <c r="Q279" s="53"/>
      <c r="R279" s="53"/>
      <c r="S279" s="53"/>
      <c r="T279" s="93"/>
    </row>
    <row r="280" spans="1:20" ht="15.6" x14ac:dyDescent="0.3">
      <c r="A280" s="110"/>
      <c r="B280" s="49"/>
      <c r="I280" s="46"/>
      <c r="J280" s="46"/>
      <c r="K280" s="46"/>
      <c r="L280" s="76"/>
      <c r="M280" s="64"/>
      <c r="N280" s="53"/>
      <c r="O280" s="53"/>
      <c r="P280" s="53"/>
      <c r="Q280" s="53"/>
      <c r="R280" s="53"/>
      <c r="S280" s="53"/>
      <c r="T280" s="93"/>
    </row>
    <row r="281" spans="1:20" ht="15.6" x14ac:dyDescent="0.3">
      <c r="A281" s="49"/>
      <c r="B281" s="49"/>
      <c r="I281" s="46"/>
      <c r="J281" s="46"/>
      <c r="K281" s="46"/>
      <c r="L281" s="76"/>
      <c r="M281" s="64"/>
      <c r="N281" s="53"/>
      <c r="O281" s="53"/>
      <c r="P281" s="53"/>
      <c r="Q281" s="53"/>
      <c r="R281" s="53"/>
      <c r="S281" s="53"/>
      <c r="T281" s="93"/>
    </row>
    <row r="282" spans="1:20" ht="15.6" x14ac:dyDescent="0.3">
      <c r="A282" s="110"/>
      <c r="B282" s="49"/>
      <c r="I282" s="46"/>
      <c r="J282" s="46"/>
      <c r="K282" s="46"/>
      <c r="L282" s="76"/>
      <c r="M282" s="64"/>
      <c r="N282" s="53"/>
      <c r="O282" s="53"/>
      <c r="P282" s="53"/>
      <c r="Q282" s="53"/>
      <c r="R282" s="53"/>
      <c r="S282" s="53"/>
      <c r="T282" s="93"/>
    </row>
    <row r="283" spans="1:20" ht="15.6" x14ac:dyDescent="0.3">
      <c r="A283" s="49"/>
      <c r="B283" s="49"/>
      <c r="I283" s="46"/>
      <c r="J283" s="46"/>
      <c r="K283" s="46"/>
      <c r="L283" s="76"/>
      <c r="M283" s="64"/>
      <c r="N283" s="53"/>
      <c r="O283" s="53"/>
      <c r="P283" s="53"/>
      <c r="Q283" s="53"/>
      <c r="R283" s="53"/>
      <c r="S283" s="53"/>
      <c r="T283" s="93"/>
    </row>
    <row r="284" spans="1:20" ht="14.4" customHeight="1" x14ac:dyDescent="0.3">
      <c r="A284" s="110"/>
      <c r="B284" s="49"/>
      <c r="I284" s="46"/>
      <c r="J284" s="46"/>
      <c r="K284" s="46"/>
      <c r="L284" s="76"/>
      <c r="M284" s="64"/>
      <c r="N284" s="53"/>
      <c r="O284" s="53"/>
      <c r="P284" s="53"/>
      <c r="Q284" s="53"/>
      <c r="R284" s="53"/>
      <c r="S284" s="53"/>
      <c r="T284" s="72"/>
    </row>
    <row r="285" spans="1:20" ht="14.4" customHeight="1" x14ac:dyDescent="0.3">
      <c r="A285" s="49"/>
      <c r="B285" s="49"/>
      <c r="I285" s="46"/>
      <c r="J285" s="46"/>
      <c r="K285" s="46"/>
      <c r="L285" s="76"/>
      <c r="M285" s="64"/>
      <c r="N285" s="53"/>
      <c r="O285" s="53"/>
      <c r="P285" s="53"/>
      <c r="Q285" s="53"/>
      <c r="R285" s="53"/>
      <c r="S285" s="53"/>
      <c r="T285" s="72"/>
    </row>
    <row r="286" spans="1:20" ht="14.4" customHeight="1" x14ac:dyDescent="0.3">
      <c r="A286" s="110"/>
      <c r="B286" s="49"/>
      <c r="I286" s="46"/>
      <c r="J286" s="46"/>
      <c r="K286" s="46"/>
      <c r="L286" s="76"/>
      <c r="M286" s="64"/>
      <c r="N286" s="53"/>
      <c r="O286" s="53"/>
      <c r="P286" s="53"/>
      <c r="Q286" s="53"/>
      <c r="R286" s="53"/>
      <c r="S286" s="53"/>
      <c r="T286" s="72"/>
    </row>
    <row r="287" spans="1:20" ht="14.4" customHeight="1" x14ac:dyDescent="0.3">
      <c r="A287" s="49"/>
      <c r="B287" s="49"/>
      <c r="I287" s="46"/>
      <c r="J287" s="46"/>
      <c r="K287" s="46"/>
      <c r="L287" s="76"/>
      <c r="M287" s="64"/>
      <c r="N287" s="53"/>
      <c r="O287" s="53"/>
      <c r="P287" s="53"/>
      <c r="Q287" s="53"/>
      <c r="R287" s="53"/>
      <c r="S287" s="53"/>
      <c r="T287" s="72"/>
    </row>
    <row r="288" spans="1:20" ht="14.4" customHeight="1" x14ac:dyDescent="0.3">
      <c r="A288" s="110"/>
      <c r="B288" s="49"/>
      <c r="I288" s="46"/>
      <c r="J288" s="46"/>
      <c r="K288" s="46"/>
      <c r="L288" s="76"/>
      <c r="M288" s="64"/>
      <c r="N288" s="53"/>
      <c r="O288" s="53"/>
      <c r="P288" s="53"/>
      <c r="Q288" s="53"/>
      <c r="R288" s="53"/>
      <c r="S288" s="53"/>
      <c r="T288" s="72"/>
    </row>
    <row r="289" spans="1:20" ht="14.4" customHeight="1" x14ac:dyDescent="0.3">
      <c r="A289" s="49"/>
      <c r="B289" s="49"/>
      <c r="I289" s="46"/>
      <c r="J289" s="46"/>
      <c r="K289" s="46"/>
      <c r="L289" s="76"/>
      <c r="M289" s="64"/>
      <c r="N289" s="53"/>
      <c r="O289" s="53"/>
      <c r="P289" s="53"/>
      <c r="Q289" s="53"/>
      <c r="R289" s="53"/>
      <c r="S289" s="53"/>
      <c r="T289" s="72"/>
    </row>
    <row r="290" spans="1:20" ht="14.4" customHeight="1" x14ac:dyDescent="0.3">
      <c r="A290" s="110"/>
      <c r="B290" s="49"/>
      <c r="I290" s="46"/>
      <c r="J290" s="46"/>
      <c r="K290" s="46"/>
      <c r="L290" s="76"/>
      <c r="M290" s="64"/>
      <c r="N290" s="53"/>
      <c r="O290" s="53"/>
      <c r="P290" s="53"/>
      <c r="Q290" s="53"/>
      <c r="R290" s="53"/>
      <c r="S290" s="53"/>
      <c r="T290" s="72"/>
    </row>
    <row r="291" spans="1:20" ht="14.4" customHeight="1" x14ac:dyDescent="0.3">
      <c r="A291" s="49"/>
      <c r="B291" s="49"/>
      <c r="I291" s="46"/>
      <c r="J291" s="46"/>
      <c r="K291" s="46"/>
      <c r="L291" s="76"/>
      <c r="M291" s="64"/>
      <c r="N291" s="53"/>
      <c r="O291" s="53"/>
      <c r="P291" s="53"/>
      <c r="Q291" s="53"/>
      <c r="R291" s="53"/>
      <c r="S291" s="53"/>
      <c r="T291" s="72"/>
    </row>
    <row r="292" spans="1:20" ht="15.6" x14ac:dyDescent="0.3">
      <c r="A292" s="110"/>
      <c r="B292" s="49"/>
      <c r="I292" s="46"/>
      <c r="J292" s="46"/>
      <c r="K292" s="46"/>
      <c r="L292" s="76"/>
      <c r="M292" s="64"/>
      <c r="N292" s="53"/>
      <c r="O292" s="53"/>
      <c r="P292" s="53"/>
      <c r="Q292" s="53"/>
      <c r="R292" s="53"/>
      <c r="S292" s="53"/>
      <c r="T292" s="93"/>
    </row>
    <row r="293" spans="1:20" ht="15.6" x14ac:dyDescent="0.3">
      <c r="A293" s="49"/>
      <c r="B293" s="49"/>
      <c r="I293" s="46"/>
      <c r="J293" s="46"/>
      <c r="K293" s="46"/>
      <c r="L293" s="76"/>
      <c r="M293" s="64"/>
      <c r="N293" s="53"/>
      <c r="O293" s="53"/>
      <c r="P293" s="53"/>
      <c r="Q293" s="53"/>
      <c r="R293" s="53"/>
      <c r="S293" s="53"/>
      <c r="T293" s="93"/>
    </row>
    <row r="294" spans="1:20" ht="15.6" x14ac:dyDescent="0.3">
      <c r="A294" s="110"/>
      <c r="B294" s="49"/>
      <c r="I294" s="46"/>
      <c r="J294" s="46"/>
      <c r="K294" s="46"/>
      <c r="L294" s="76"/>
      <c r="M294" s="64"/>
      <c r="N294" s="53"/>
      <c r="O294" s="53"/>
      <c r="P294" s="53"/>
      <c r="Q294" s="53"/>
      <c r="R294" s="53"/>
      <c r="S294" s="53"/>
      <c r="T294" s="93"/>
    </row>
    <row r="295" spans="1:20" ht="15.6" x14ac:dyDescent="0.3">
      <c r="A295" s="49"/>
      <c r="B295" s="49"/>
      <c r="I295" s="46"/>
      <c r="J295" s="46"/>
      <c r="K295" s="46"/>
      <c r="L295" s="76"/>
      <c r="M295" s="64"/>
      <c r="N295" s="53"/>
      <c r="O295" s="53"/>
      <c r="P295" s="53"/>
      <c r="Q295" s="53"/>
      <c r="R295" s="53"/>
      <c r="S295" s="53"/>
      <c r="T295" s="92"/>
    </row>
    <row r="296" spans="1:20" ht="15.6" x14ac:dyDescent="0.3">
      <c r="A296" s="110"/>
      <c r="B296" s="49"/>
      <c r="I296" s="46"/>
      <c r="J296" s="46"/>
      <c r="K296" s="46"/>
      <c r="L296" s="76"/>
      <c r="M296" s="64"/>
      <c r="N296" s="53"/>
      <c r="O296" s="53"/>
      <c r="P296" s="53"/>
      <c r="Q296" s="53"/>
      <c r="R296" s="53"/>
      <c r="S296" s="53"/>
      <c r="T296" s="92"/>
    </row>
    <row r="297" spans="1:20" ht="15.6" x14ac:dyDescent="0.3">
      <c r="A297" s="49"/>
      <c r="B297" s="49"/>
      <c r="I297" s="46"/>
      <c r="J297" s="46"/>
      <c r="K297" s="46"/>
      <c r="L297" s="76"/>
      <c r="M297" s="64"/>
      <c r="N297" s="53"/>
      <c r="O297" s="53"/>
      <c r="P297" s="53"/>
      <c r="Q297" s="53"/>
      <c r="R297" s="53"/>
      <c r="S297" s="53"/>
      <c r="T297" s="92"/>
    </row>
    <row r="298" spans="1:20" ht="15.6" x14ac:dyDescent="0.3">
      <c r="A298" s="110"/>
      <c r="B298" s="49"/>
      <c r="I298" s="46"/>
      <c r="J298" s="46"/>
      <c r="K298" s="46"/>
      <c r="L298" s="76"/>
      <c r="M298" s="64"/>
      <c r="N298" s="53"/>
      <c r="O298" s="53"/>
      <c r="P298" s="53"/>
      <c r="Q298" s="53"/>
      <c r="R298" s="53"/>
      <c r="S298" s="53"/>
      <c r="T298" s="93"/>
    </row>
    <row r="299" spans="1:20" ht="15.6" x14ac:dyDescent="0.3">
      <c r="A299" s="49"/>
      <c r="B299" s="49"/>
      <c r="I299" s="46"/>
      <c r="J299" s="46"/>
      <c r="K299" s="46"/>
      <c r="L299" s="76"/>
      <c r="M299" s="64"/>
      <c r="N299" s="53"/>
      <c r="O299" s="53"/>
      <c r="P299" s="53"/>
      <c r="Q299" s="53"/>
      <c r="R299" s="53"/>
      <c r="S299" s="53"/>
      <c r="T299" s="93"/>
    </row>
    <row r="300" spans="1:20" ht="15.6" x14ac:dyDescent="0.3">
      <c r="A300" s="110"/>
      <c r="B300" s="49"/>
      <c r="I300" s="46"/>
      <c r="J300" s="46"/>
      <c r="K300" s="46"/>
      <c r="L300" s="76"/>
      <c r="M300" s="64"/>
      <c r="N300" s="53"/>
      <c r="O300" s="53"/>
      <c r="P300" s="53"/>
      <c r="Q300" s="53"/>
      <c r="R300" s="53"/>
      <c r="S300" s="53"/>
      <c r="T300" s="93"/>
    </row>
    <row r="301" spans="1:20" ht="15.6" x14ac:dyDescent="0.3">
      <c r="A301" s="49"/>
      <c r="B301" s="49"/>
      <c r="I301" s="46"/>
      <c r="J301" s="46"/>
      <c r="K301" s="46"/>
      <c r="L301" s="76"/>
      <c r="M301" s="64"/>
      <c r="N301" s="53"/>
      <c r="O301" s="53"/>
      <c r="P301" s="53"/>
      <c r="Q301" s="53"/>
      <c r="R301" s="53"/>
      <c r="S301" s="53"/>
      <c r="T301" s="93"/>
    </row>
    <row r="302" spans="1:20" ht="15.6" x14ac:dyDescent="0.3">
      <c r="A302" s="110"/>
      <c r="B302" s="49"/>
      <c r="I302" s="46"/>
      <c r="J302" s="46"/>
      <c r="K302" s="46"/>
      <c r="L302" s="76"/>
      <c r="M302" s="64"/>
      <c r="N302" s="53"/>
      <c r="O302" s="53"/>
      <c r="P302" s="53"/>
      <c r="Q302" s="53"/>
      <c r="R302" s="53"/>
      <c r="S302" s="53"/>
      <c r="T302" s="92"/>
    </row>
    <row r="303" spans="1:20" ht="15.6" x14ac:dyDescent="0.3">
      <c r="A303" s="49"/>
      <c r="B303" s="49"/>
      <c r="I303" s="46"/>
      <c r="J303" s="46"/>
      <c r="K303" s="46"/>
      <c r="L303" s="76"/>
      <c r="M303" s="64"/>
      <c r="N303" s="53"/>
      <c r="O303" s="53"/>
      <c r="P303" s="53"/>
      <c r="Q303" s="53"/>
      <c r="R303" s="53"/>
      <c r="S303" s="53"/>
      <c r="T303" s="92"/>
    </row>
    <row r="304" spans="1:20" ht="15.6" x14ac:dyDescent="0.3">
      <c r="A304" s="110"/>
      <c r="B304" s="49"/>
      <c r="I304" s="46"/>
      <c r="J304" s="46"/>
      <c r="K304" s="46"/>
      <c r="L304" s="76"/>
      <c r="M304" s="64"/>
      <c r="N304" s="53"/>
      <c r="O304" s="53"/>
      <c r="P304" s="53"/>
      <c r="Q304" s="53"/>
      <c r="R304" s="53"/>
      <c r="S304" s="53"/>
      <c r="T304" s="93"/>
    </row>
    <row r="305" spans="1:20" x14ac:dyDescent="0.3">
      <c r="A305" s="49"/>
      <c r="B305" s="49"/>
      <c r="I305" s="46"/>
      <c r="J305" s="46"/>
      <c r="K305" s="46"/>
      <c r="L305" s="76"/>
      <c r="M305" s="64"/>
      <c r="N305" s="53"/>
      <c r="O305" s="53"/>
      <c r="P305" s="53"/>
      <c r="Q305" s="53"/>
      <c r="R305" s="53"/>
      <c r="S305" s="53"/>
      <c r="T305" s="72"/>
    </row>
    <row r="306" spans="1:20" ht="15.6" x14ac:dyDescent="0.3">
      <c r="A306" s="110"/>
      <c r="B306" s="49"/>
      <c r="I306" s="46"/>
      <c r="J306" s="46"/>
      <c r="K306" s="46"/>
      <c r="L306" s="76"/>
      <c r="M306" s="64"/>
      <c r="N306" s="53"/>
      <c r="O306" s="53"/>
      <c r="P306" s="53"/>
      <c r="Q306" s="53"/>
      <c r="R306" s="53"/>
      <c r="S306" s="53"/>
      <c r="T306" s="93"/>
    </row>
    <row r="307" spans="1:20" ht="15.6" x14ac:dyDescent="0.3">
      <c r="A307" s="49"/>
      <c r="B307" s="49"/>
      <c r="I307" s="46"/>
      <c r="J307" s="46"/>
      <c r="K307" s="46"/>
      <c r="L307" s="76"/>
      <c r="M307" s="64"/>
      <c r="N307" s="53"/>
      <c r="O307" s="53"/>
      <c r="P307" s="53"/>
      <c r="Q307" s="53"/>
      <c r="R307" s="53"/>
      <c r="S307" s="53"/>
      <c r="T307" s="93"/>
    </row>
    <row r="308" spans="1:20" ht="15.6" x14ac:dyDescent="0.3">
      <c r="A308" s="110"/>
      <c r="B308" s="49"/>
      <c r="I308" s="46"/>
      <c r="J308" s="46"/>
      <c r="K308" s="46"/>
      <c r="L308" s="76"/>
      <c r="M308" s="64"/>
      <c r="N308" s="53"/>
      <c r="O308" s="53"/>
      <c r="P308" s="53"/>
      <c r="Q308" s="53"/>
      <c r="R308" s="53"/>
      <c r="S308" s="53"/>
      <c r="T308" s="92"/>
    </row>
    <row r="309" spans="1:20" x14ac:dyDescent="0.3">
      <c r="A309" s="49"/>
      <c r="B309" s="49"/>
      <c r="I309" s="46"/>
      <c r="J309" s="46"/>
      <c r="K309" s="46"/>
      <c r="L309" s="76"/>
      <c r="M309" s="64"/>
      <c r="N309" s="53"/>
      <c r="O309" s="53"/>
      <c r="P309" s="53"/>
      <c r="Q309" s="53"/>
      <c r="R309" s="53"/>
      <c r="S309" s="53"/>
      <c r="T309" s="72"/>
    </row>
    <row r="310" spans="1:20" ht="15.6" x14ac:dyDescent="0.3">
      <c r="A310" s="110"/>
      <c r="B310" s="49"/>
      <c r="I310" s="46"/>
      <c r="J310" s="46"/>
      <c r="K310" s="46"/>
      <c r="L310" s="76"/>
      <c r="M310" s="64"/>
      <c r="N310" s="53"/>
      <c r="O310" s="53"/>
      <c r="P310" s="53"/>
      <c r="Q310" s="53"/>
      <c r="R310" s="53"/>
      <c r="S310" s="53"/>
      <c r="T310" s="92"/>
    </row>
    <row r="311" spans="1:20" ht="15.6" x14ac:dyDescent="0.3">
      <c r="A311" s="49"/>
      <c r="B311" s="49"/>
      <c r="I311" s="46"/>
      <c r="J311" s="46"/>
      <c r="K311" s="46"/>
      <c r="L311" s="76"/>
      <c r="M311" s="64"/>
      <c r="N311" s="53"/>
      <c r="O311" s="53"/>
      <c r="P311" s="53"/>
      <c r="Q311" s="53"/>
      <c r="R311" s="53"/>
      <c r="S311" s="53"/>
      <c r="T311" s="93"/>
    </row>
    <row r="312" spans="1:20" ht="15.6" x14ac:dyDescent="0.3">
      <c r="A312" s="110"/>
      <c r="B312" s="49"/>
      <c r="I312" s="46"/>
      <c r="J312" s="46"/>
      <c r="K312" s="46"/>
      <c r="L312" s="76"/>
      <c r="M312" s="64"/>
      <c r="N312" s="53"/>
      <c r="O312" s="53"/>
      <c r="P312" s="53"/>
      <c r="Q312" s="53"/>
      <c r="R312" s="53"/>
      <c r="S312" s="53"/>
      <c r="T312" s="93"/>
    </row>
    <row r="313" spans="1:20" ht="15.6" x14ac:dyDescent="0.3">
      <c r="A313" s="49"/>
      <c r="B313" s="49"/>
      <c r="I313" s="46"/>
      <c r="J313" s="46"/>
      <c r="K313" s="46"/>
      <c r="L313" s="76"/>
      <c r="M313" s="64"/>
      <c r="N313" s="53"/>
      <c r="O313" s="53"/>
      <c r="P313" s="53"/>
      <c r="Q313" s="53"/>
      <c r="R313" s="53"/>
      <c r="S313" s="53"/>
      <c r="T313" s="93"/>
    </row>
    <row r="314" spans="1:20" ht="15.6" x14ac:dyDescent="0.3">
      <c r="A314" s="110"/>
      <c r="B314" s="49"/>
      <c r="I314" s="46"/>
      <c r="J314" s="46"/>
      <c r="K314" s="46"/>
      <c r="L314" s="76"/>
      <c r="M314" s="64"/>
      <c r="N314" s="53"/>
      <c r="O314" s="53"/>
      <c r="P314" s="53"/>
      <c r="Q314" s="53"/>
      <c r="R314" s="53"/>
      <c r="S314" s="53"/>
      <c r="T314" s="93"/>
    </row>
    <row r="315" spans="1:20" ht="15.6" x14ac:dyDescent="0.3">
      <c r="A315" s="49"/>
      <c r="B315" s="49"/>
      <c r="I315" s="46"/>
      <c r="J315" s="46"/>
      <c r="K315" s="46"/>
      <c r="L315" s="76"/>
      <c r="M315" s="64"/>
      <c r="N315" s="53"/>
      <c r="O315" s="53"/>
      <c r="P315" s="53"/>
      <c r="Q315" s="53"/>
      <c r="R315" s="53"/>
      <c r="S315" s="53"/>
      <c r="T315" s="92"/>
    </row>
    <row r="316" spans="1:20" ht="15.6" x14ac:dyDescent="0.3">
      <c r="A316" s="110"/>
      <c r="B316" s="67"/>
      <c r="I316" s="46"/>
      <c r="J316" s="46"/>
      <c r="K316" s="46"/>
      <c r="L316" s="76"/>
      <c r="M316" s="64"/>
      <c r="N316" s="53"/>
      <c r="O316" s="53"/>
      <c r="P316" s="53"/>
      <c r="Q316" s="53"/>
      <c r="R316" s="53"/>
      <c r="S316" s="53"/>
      <c r="T316" s="92"/>
    </row>
    <row r="317" spans="1:20" ht="15.6" x14ac:dyDescent="0.3">
      <c r="A317" s="49"/>
      <c r="B317" s="49"/>
      <c r="I317" s="46"/>
      <c r="J317" s="46"/>
      <c r="K317" s="46"/>
      <c r="L317" s="76"/>
      <c r="M317" s="64"/>
      <c r="N317" s="53"/>
      <c r="O317" s="53"/>
      <c r="P317" s="53"/>
      <c r="Q317" s="53"/>
      <c r="R317" s="53"/>
      <c r="S317" s="53"/>
      <c r="T317" s="93"/>
    </row>
    <row r="318" spans="1:20" ht="15.6" x14ac:dyDescent="0.3">
      <c r="A318" s="110"/>
      <c r="B318" s="49"/>
      <c r="I318" s="46"/>
      <c r="J318" s="46"/>
      <c r="K318" s="46"/>
      <c r="L318" s="76"/>
      <c r="M318" s="64"/>
      <c r="N318" s="53"/>
      <c r="O318" s="53"/>
      <c r="P318" s="53"/>
      <c r="Q318" s="53"/>
      <c r="R318" s="53"/>
      <c r="S318" s="53"/>
      <c r="T318" s="92"/>
    </row>
    <row r="319" spans="1:20" ht="15.6" x14ac:dyDescent="0.3">
      <c r="A319" s="49"/>
      <c r="B319" s="49"/>
      <c r="I319" s="46"/>
      <c r="J319" s="46"/>
      <c r="K319" s="46"/>
      <c r="L319" s="76"/>
      <c r="M319" s="64"/>
      <c r="N319" s="53"/>
      <c r="O319" s="53"/>
      <c r="P319" s="53"/>
      <c r="Q319" s="53"/>
      <c r="R319" s="53"/>
      <c r="S319" s="53"/>
      <c r="T319" s="93"/>
    </row>
    <row r="320" spans="1:20" ht="15.6" x14ac:dyDescent="0.3">
      <c r="A320" s="110"/>
      <c r="B320" s="49"/>
      <c r="I320" s="46"/>
      <c r="J320" s="46"/>
      <c r="K320" s="46"/>
      <c r="L320" s="76"/>
      <c r="M320" s="51"/>
      <c r="N320" s="53"/>
      <c r="O320" s="53"/>
      <c r="P320" s="53"/>
      <c r="Q320" s="53"/>
      <c r="R320" s="53"/>
      <c r="S320" s="53"/>
      <c r="T320" s="93"/>
    </row>
    <row r="321" spans="1:20" ht="15.6" x14ac:dyDescent="0.3">
      <c r="A321" s="49"/>
      <c r="B321" s="49"/>
      <c r="I321" s="46"/>
      <c r="J321" s="46"/>
      <c r="K321" s="46"/>
      <c r="L321" s="76"/>
      <c r="M321" s="64"/>
      <c r="N321" s="53"/>
      <c r="O321" s="53"/>
      <c r="P321" s="53"/>
      <c r="Q321" s="53"/>
      <c r="R321" s="53"/>
      <c r="S321" s="53"/>
      <c r="T321" s="93"/>
    </row>
    <row r="322" spans="1:20" ht="15.6" x14ac:dyDescent="0.3">
      <c r="A322" s="110"/>
      <c r="B322" s="49"/>
      <c r="I322" s="46"/>
      <c r="J322" s="46"/>
      <c r="K322" s="46"/>
      <c r="L322" s="76"/>
      <c r="M322" s="64"/>
      <c r="N322" s="53"/>
      <c r="O322" s="53"/>
      <c r="P322" s="53"/>
      <c r="Q322" s="53"/>
      <c r="R322" s="53"/>
      <c r="S322" s="53"/>
      <c r="T322" s="93"/>
    </row>
    <row r="323" spans="1:20" ht="15.6" x14ac:dyDescent="0.3">
      <c r="A323" s="49"/>
      <c r="B323" s="49"/>
      <c r="I323" s="46"/>
      <c r="J323" s="46"/>
      <c r="K323" s="46"/>
      <c r="L323" s="76"/>
      <c r="M323" s="64"/>
      <c r="N323" s="53"/>
      <c r="O323" s="53"/>
      <c r="P323" s="53"/>
      <c r="Q323" s="53"/>
      <c r="R323" s="53"/>
      <c r="S323" s="53"/>
      <c r="T323" s="92"/>
    </row>
    <row r="324" spans="1:20" ht="15.6" x14ac:dyDescent="0.3">
      <c r="A324" s="110"/>
      <c r="B324" s="49"/>
      <c r="I324" s="46"/>
      <c r="J324" s="46"/>
      <c r="K324" s="46"/>
      <c r="L324" s="76"/>
      <c r="M324" s="64"/>
      <c r="N324" s="53"/>
      <c r="O324" s="53"/>
      <c r="P324" s="53"/>
      <c r="Q324" s="53"/>
      <c r="R324" s="53"/>
      <c r="S324" s="53"/>
      <c r="T324" s="92"/>
    </row>
    <row r="325" spans="1:20" ht="15.6" x14ac:dyDescent="0.3">
      <c r="A325" s="49"/>
      <c r="B325" s="49"/>
      <c r="I325" s="46"/>
      <c r="J325" s="46"/>
      <c r="K325" s="46"/>
      <c r="L325" s="76"/>
      <c r="M325" s="59"/>
      <c r="N325" s="53"/>
      <c r="O325" s="53"/>
      <c r="P325" s="53"/>
      <c r="Q325" s="53"/>
      <c r="R325" s="53"/>
      <c r="S325" s="53"/>
      <c r="T325" s="93"/>
    </row>
    <row r="326" spans="1:20" ht="15.6" x14ac:dyDescent="0.3">
      <c r="A326" s="110"/>
      <c r="B326" s="49"/>
      <c r="I326" s="46"/>
      <c r="J326" s="46"/>
      <c r="K326" s="46"/>
      <c r="L326" s="76"/>
      <c r="M326" s="59"/>
      <c r="N326" s="53"/>
      <c r="O326" s="53"/>
      <c r="P326" s="53"/>
      <c r="Q326" s="53"/>
      <c r="R326" s="53"/>
      <c r="S326" s="53"/>
      <c r="T326" s="92"/>
    </row>
    <row r="327" spans="1:20" ht="15.6" x14ac:dyDescent="0.3">
      <c r="A327" s="49"/>
      <c r="B327" s="49"/>
      <c r="I327" s="46"/>
      <c r="J327" s="46"/>
      <c r="K327" s="46"/>
      <c r="L327" s="76"/>
      <c r="M327" s="99"/>
      <c r="N327" s="53"/>
      <c r="O327" s="53"/>
      <c r="P327" s="53"/>
      <c r="Q327" s="53"/>
      <c r="R327" s="53"/>
      <c r="S327" s="53"/>
      <c r="T327" s="93"/>
    </row>
    <row r="328" spans="1:20" ht="15.6" x14ac:dyDescent="0.3">
      <c r="A328" s="110"/>
      <c r="B328" s="49"/>
      <c r="I328" s="46"/>
      <c r="J328" s="46"/>
      <c r="K328" s="46"/>
      <c r="L328" s="76"/>
      <c r="M328" s="99"/>
      <c r="N328" s="53"/>
      <c r="O328" s="53"/>
      <c r="P328" s="53"/>
      <c r="Q328" s="53"/>
      <c r="R328" s="53"/>
      <c r="S328" s="53"/>
      <c r="T328" s="93"/>
    </row>
    <row r="329" spans="1:20" ht="25.8" x14ac:dyDescent="0.5">
      <c r="A329" s="122"/>
      <c r="B329" s="49"/>
      <c r="I329" s="46"/>
      <c r="J329" s="46"/>
      <c r="K329" s="46"/>
      <c r="L329" s="76"/>
      <c r="M329" s="64"/>
      <c r="N329" s="53"/>
      <c r="O329" s="53"/>
      <c r="P329" s="53"/>
      <c r="Q329" s="53"/>
      <c r="R329" s="53"/>
      <c r="S329" s="53"/>
      <c r="T329" s="135"/>
    </row>
    <row r="330" spans="1:20" ht="15.6" x14ac:dyDescent="0.3">
      <c r="A330" s="110"/>
      <c r="B330" s="49"/>
      <c r="I330" s="46"/>
      <c r="J330" s="46"/>
      <c r="K330" s="46"/>
      <c r="L330" s="76"/>
      <c r="M330" s="64"/>
      <c r="N330" s="53"/>
      <c r="O330" s="53"/>
      <c r="P330" s="53"/>
      <c r="Q330" s="53"/>
      <c r="R330" s="53"/>
      <c r="S330" s="53"/>
      <c r="T330" s="93"/>
    </row>
    <row r="331" spans="1:20" x14ac:dyDescent="0.3">
      <c r="I331" s="46"/>
      <c r="J331" s="46"/>
      <c r="K331" s="46"/>
      <c r="L331" s="76"/>
      <c r="M331" s="64"/>
      <c r="N331" s="53"/>
      <c r="O331" s="53"/>
      <c r="P331" s="53"/>
      <c r="Q331" s="53"/>
      <c r="R331" s="53"/>
      <c r="S331" s="53"/>
      <c r="T331" s="72"/>
    </row>
    <row r="332" spans="1:20" x14ac:dyDescent="0.3">
      <c r="A332" s="17"/>
      <c r="I332" s="46"/>
      <c r="J332" s="46"/>
      <c r="K332" s="46"/>
      <c r="L332" s="76"/>
      <c r="M332" s="64"/>
      <c r="N332" s="53"/>
      <c r="O332" s="53"/>
      <c r="P332" s="53"/>
      <c r="Q332" s="53"/>
      <c r="R332" s="53"/>
      <c r="S332" s="53"/>
      <c r="T332" s="72"/>
    </row>
    <row r="333" spans="1:20" x14ac:dyDescent="0.3">
      <c r="I333" s="46"/>
      <c r="J333" s="46"/>
      <c r="K333" s="46"/>
      <c r="L333" s="76"/>
      <c r="M333" s="64"/>
      <c r="N333" s="53"/>
      <c r="O333" s="53"/>
      <c r="P333" s="53"/>
      <c r="Q333" s="53"/>
      <c r="R333" s="53"/>
      <c r="S333" s="53"/>
      <c r="T333" s="72"/>
    </row>
    <row r="334" spans="1:20" x14ac:dyDescent="0.3">
      <c r="A334" s="17"/>
      <c r="I334" s="46"/>
      <c r="J334" s="46"/>
      <c r="K334" s="46"/>
      <c r="L334" s="76"/>
      <c r="M334" s="64"/>
      <c r="N334" s="53"/>
      <c r="O334" s="53"/>
      <c r="P334" s="53"/>
      <c r="Q334" s="53"/>
      <c r="R334" s="53"/>
      <c r="S334" s="53"/>
      <c r="T334" s="72"/>
    </row>
    <row r="335" spans="1:20" x14ac:dyDescent="0.3">
      <c r="A335" s="49"/>
      <c r="B335" s="49"/>
      <c r="I335" s="46"/>
      <c r="J335" s="46"/>
      <c r="K335" s="46"/>
      <c r="L335" s="76"/>
      <c r="M335" s="59"/>
      <c r="N335" s="53"/>
      <c r="O335" s="53"/>
      <c r="P335" s="53"/>
      <c r="Q335" s="53"/>
      <c r="R335" s="53"/>
      <c r="S335" s="53"/>
      <c r="T335" s="72"/>
    </row>
    <row r="336" spans="1:20" x14ac:dyDescent="0.3">
      <c r="A336" s="17"/>
      <c r="I336" s="46"/>
      <c r="J336" s="46"/>
      <c r="K336" s="46"/>
      <c r="L336" s="76"/>
      <c r="M336" s="64"/>
      <c r="N336" s="53"/>
      <c r="O336" s="53"/>
      <c r="P336" s="53"/>
      <c r="Q336" s="53"/>
      <c r="R336" s="53"/>
      <c r="S336" s="53"/>
      <c r="T336" s="72"/>
    </row>
    <row r="337" spans="1:20" x14ac:dyDescent="0.3">
      <c r="I337" s="46"/>
      <c r="J337" s="46"/>
      <c r="K337" s="46"/>
      <c r="L337" s="76"/>
      <c r="M337" s="53"/>
      <c r="N337" s="53"/>
      <c r="O337" s="53"/>
      <c r="P337" s="53"/>
      <c r="Q337" s="53"/>
      <c r="R337" s="53"/>
      <c r="S337" s="53"/>
      <c r="T337" s="72"/>
    </row>
    <row r="338" spans="1:20" x14ac:dyDescent="0.3">
      <c r="A338" s="110"/>
      <c r="B338" s="49"/>
      <c r="I338" s="46"/>
      <c r="J338" s="46"/>
      <c r="K338" s="46"/>
      <c r="L338" s="76"/>
      <c r="M338" s="59"/>
      <c r="N338" s="53"/>
      <c r="O338" s="53"/>
      <c r="P338" s="53"/>
      <c r="Q338" s="53"/>
      <c r="R338" s="53"/>
      <c r="S338" s="53"/>
      <c r="T338" s="112"/>
    </row>
    <row r="339" spans="1:20" x14ac:dyDescent="0.3">
      <c r="A339" s="49"/>
      <c r="B339" s="49"/>
      <c r="I339" s="46"/>
      <c r="J339" s="46"/>
      <c r="K339" s="46"/>
      <c r="L339" s="76"/>
      <c r="M339" s="59"/>
      <c r="N339" s="53"/>
      <c r="O339" s="53"/>
      <c r="P339" s="53"/>
      <c r="Q339" s="53"/>
      <c r="R339" s="53"/>
      <c r="S339" s="53"/>
      <c r="T339" s="112"/>
    </row>
    <row r="340" spans="1:20" x14ac:dyDescent="0.3">
      <c r="A340" s="110"/>
      <c r="B340" s="49"/>
      <c r="I340" s="46"/>
      <c r="J340" s="46"/>
      <c r="K340" s="46"/>
      <c r="L340" s="76"/>
      <c r="M340" s="59"/>
      <c r="N340" s="53"/>
      <c r="O340" s="53"/>
      <c r="P340" s="53"/>
      <c r="Q340" s="53"/>
      <c r="R340" s="53"/>
      <c r="S340" s="53"/>
      <c r="T340" s="112"/>
    </row>
    <row r="341" spans="1:20" x14ac:dyDescent="0.3">
      <c r="A341" s="49"/>
      <c r="B341" s="49"/>
      <c r="I341" s="46"/>
      <c r="J341" s="46"/>
      <c r="K341" s="46"/>
      <c r="L341" s="76"/>
      <c r="M341" s="59"/>
      <c r="N341" s="53"/>
      <c r="O341" s="53"/>
      <c r="P341" s="53"/>
      <c r="Q341" s="53"/>
      <c r="R341" s="53"/>
      <c r="S341" s="53"/>
      <c r="T341" s="112"/>
    </row>
    <row r="342" spans="1:20" x14ac:dyDescent="0.3">
      <c r="A342" s="110"/>
      <c r="B342" s="49"/>
      <c r="I342" s="46"/>
      <c r="J342" s="46"/>
      <c r="K342" s="46"/>
      <c r="L342" s="76"/>
      <c r="M342" s="59"/>
      <c r="N342" s="53"/>
      <c r="O342" s="53"/>
      <c r="P342" s="53"/>
      <c r="Q342" s="53"/>
      <c r="R342" s="53"/>
      <c r="S342" s="53"/>
      <c r="T342" s="113"/>
    </row>
    <row r="343" spans="1:20" x14ac:dyDescent="0.3">
      <c r="A343" s="49"/>
      <c r="B343" s="49"/>
      <c r="I343" s="46"/>
      <c r="J343" s="46"/>
      <c r="K343" s="46"/>
      <c r="L343" s="76"/>
      <c r="M343" s="59"/>
      <c r="N343" s="53"/>
      <c r="O343" s="53"/>
      <c r="P343" s="53"/>
      <c r="Q343" s="53"/>
      <c r="R343" s="53"/>
      <c r="S343" s="53"/>
      <c r="T343" s="112"/>
    </row>
    <row r="344" spans="1:20" x14ac:dyDescent="0.3">
      <c r="A344" s="110"/>
      <c r="B344" s="49"/>
      <c r="I344" s="46"/>
      <c r="J344" s="46"/>
      <c r="K344" s="46"/>
      <c r="L344" s="76"/>
      <c r="M344" s="59"/>
      <c r="N344" s="53"/>
      <c r="O344" s="53"/>
      <c r="P344" s="53"/>
      <c r="Q344" s="53"/>
      <c r="R344" s="53"/>
      <c r="S344" s="53"/>
      <c r="T344" s="112"/>
    </row>
    <row r="345" spans="1:20" x14ac:dyDescent="0.3">
      <c r="A345" s="49"/>
      <c r="B345" s="49"/>
      <c r="I345" s="46"/>
      <c r="J345" s="46"/>
      <c r="K345" s="46"/>
      <c r="L345" s="76"/>
      <c r="M345" s="59"/>
      <c r="N345" s="53"/>
      <c r="O345" s="53"/>
      <c r="P345" s="53"/>
      <c r="Q345" s="53"/>
      <c r="R345" s="53"/>
      <c r="S345" s="53"/>
      <c r="T345" s="43"/>
    </row>
    <row r="346" spans="1:20" x14ac:dyDescent="0.3">
      <c r="A346" s="110"/>
      <c r="B346" s="49"/>
      <c r="I346" s="46"/>
      <c r="J346" s="46"/>
      <c r="K346" s="46"/>
      <c r="L346" s="76"/>
      <c r="M346" s="59"/>
      <c r="N346" s="53"/>
      <c r="O346" s="53"/>
      <c r="P346" s="53"/>
      <c r="Q346" s="53"/>
      <c r="R346" s="53"/>
      <c r="S346" s="53"/>
      <c r="T346" s="43"/>
    </row>
    <row r="347" spans="1:20" x14ac:dyDescent="0.3">
      <c r="A347" s="49"/>
      <c r="B347" s="49"/>
      <c r="I347" s="46"/>
      <c r="J347" s="46"/>
      <c r="K347" s="46"/>
      <c r="L347" s="76"/>
      <c r="M347" s="59"/>
      <c r="N347" s="53"/>
      <c r="O347" s="53"/>
      <c r="P347" s="53"/>
      <c r="Q347" s="53"/>
      <c r="R347" s="53"/>
      <c r="S347" s="53"/>
      <c r="T347" s="43"/>
    </row>
    <row r="348" spans="1:20" x14ac:dyDescent="0.3">
      <c r="A348" s="110"/>
      <c r="B348" s="49"/>
      <c r="I348" s="46"/>
      <c r="J348" s="46"/>
      <c r="K348" s="46"/>
      <c r="L348" s="76"/>
      <c r="M348" s="59"/>
      <c r="N348" s="53"/>
      <c r="O348" s="53"/>
      <c r="P348" s="53"/>
      <c r="Q348" s="53"/>
      <c r="R348" s="53"/>
      <c r="S348" s="53"/>
      <c r="T348" s="43"/>
    </row>
    <row r="349" spans="1:20" x14ac:dyDescent="0.3">
      <c r="A349" s="49"/>
      <c r="B349" s="49"/>
      <c r="I349" s="46"/>
      <c r="J349" s="46"/>
      <c r="K349" s="46"/>
      <c r="L349" s="76"/>
      <c r="M349" s="59"/>
      <c r="N349" s="53"/>
      <c r="O349" s="53"/>
      <c r="P349" s="53"/>
      <c r="Q349" s="53"/>
      <c r="R349" s="53"/>
      <c r="S349" s="53"/>
      <c r="T349" s="43"/>
    </row>
    <row r="350" spans="1:20" x14ac:dyDescent="0.3">
      <c r="A350" s="110"/>
      <c r="B350" s="49"/>
      <c r="I350" s="46"/>
      <c r="J350" s="46"/>
      <c r="K350" s="46"/>
      <c r="L350" s="76"/>
      <c r="M350" s="59"/>
      <c r="N350" s="53"/>
      <c r="O350" s="53"/>
      <c r="P350" s="53"/>
      <c r="Q350" s="53"/>
      <c r="R350" s="53"/>
      <c r="S350" s="53"/>
      <c r="T350" s="43"/>
    </row>
    <row r="351" spans="1:20" x14ac:dyDescent="0.3">
      <c r="B351" s="116"/>
      <c r="C351" s="117"/>
      <c r="E351" s="117"/>
      <c r="F351" s="117"/>
      <c r="G351" s="117"/>
      <c r="H351" s="117"/>
      <c r="I351" s="47"/>
      <c r="J351" s="47"/>
      <c r="K351" s="47"/>
      <c r="L351" s="76"/>
      <c r="M351" s="128"/>
      <c r="N351" s="118"/>
      <c r="O351" s="118"/>
      <c r="P351" s="118"/>
      <c r="Q351" s="118"/>
      <c r="R351" s="118"/>
      <c r="S351" s="118"/>
      <c r="T351" s="119"/>
    </row>
    <row r="352" spans="1:20" x14ac:dyDescent="0.3">
      <c r="B352" s="116"/>
      <c r="C352" s="117"/>
      <c r="E352" s="117"/>
      <c r="F352" s="117"/>
      <c r="G352" s="117"/>
      <c r="H352" s="117"/>
      <c r="I352" s="47"/>
      <c r="J352" s="46"/>
      <c r="K352" s="47"/>
      <c r="L352" s="76"/>
      <c r="M352" s="129"/>
      <c r="N352" s="118"/>
      <c r="O352" s="118"/>
      <c r="P352" s="118"/>
      <c r="Q352" s="118"/>
      <c r="R352" s="118"/>
      <c r="S352" s="118"/>
      <c r="T352" s="119"/>
    </row>
    <row r="353" spans="2:20" x14ac:dyDescent="0.3">
      <c r="B353" s="121"/>
      <c r="C353" s="117"/>
      <c r="E353" s="117"/>
      <c r="F353" s="117"/>
      <c r="G353" s="117"/>
      <c r="H353" s="117"/>
      <c r="I353" s="47"/>
      <c r="J353" s="47"/>
      <c r="K353" s="47"/>
      <c r="L353" s="76"/>
      <c r="M353" s="69"/>
      <c r="N353" s="118"/>
      <c r="O353" s="118"/>
      <c r="P353" s="118"/>
      <c r="Q353" s="118"/>
      <c r="R353" s="118"/>
      <c r="S353" s="118"/>
      <c r="T353" s="119"/>
    </row>
    <row r="354" spans="2:20" x14ac:dyDescent="0.3">
      <c r="B354" s="121"/>
      <c r="C354" s="117"/>
      <c r="E354" s="117"/>
      <c r="F354" s="117"/>
      <c r="G354" s="117"/>
      <c r="H354" s="117"/>
      <c r="I354" s="47"/>
      <c r="J354" s="47"/>
      <c r="K354" s="47"/>
      <c r="L354" s="120"/>
      <c r="M354" s="69"/>
      <c r="N354" s="118"/>
      <c r="O354" s="118"/>
      <c r="P354" s="118"/>
      <c r="Q354" s="118"/>
      <c r="R354" s="118"/>
      <c r="S354" s="118"/>
      <c r="T354" s="119"/>
    </row>
    <row r="355" spans="2:20" x14ac:dyDescent="0.3">
      <c r="B355" s="121"/>
      <c r="C355" s="117"/>
      <c r="E355" s="117"/>
      <c r="F355" s="117"/>
      <c r="G355" s="117"/>
      <c r="H355" s="117"/>
      <c r="I355" s="47"/>
      <c r="J355" s="47"/>
      <c r="K355" s="47"/>
      <c r="L355" s="120"/>
      <c r="M355" s="69"/>
      <c r="N355" s="118"/>
      <c r="O355" s="118"/>
      <c r="P355" s="118"/>
      <c r="Q355" s="118"/>
      <c r="R355" s="118"/>
      <c r="S355" s="118"/>
      <c r="T355" s="119"/>
    </row>
    <row r="356" spans="2:20" x14ac:dyDescent="0.3">
      <c r="B356" s="121"/>
      <c r="C356" s="117"/>
      <c r="E356" s="117"/>
      <c r="F356" s="117"/>
      <c r="G356" s="117"/>
      <c r="H356" s="117"/>
      <c r="I356" s="47"/>
      <c r="J356" s="47"/>
      <c r="K356" s="47"/>
      <c r="L356" s="120"/>
      <c r="M356" s="69"/>
      <c r="N356" s="118"/>
      <c r="O356" s="118"/>
      <c r="P356" s="118"/>
      <c r="Q356" s="118"/>
      <c r="R356" s="118"/>
      <c r="S356" s="118"/>
      <c r="T356" s="119"/>
    </row>
    <row r="357" spans="2:20" x14ac:dyDescent="0.3">
      <c r="B357" s="121"/>
      <c r="C357" s="117"/>
      <c r="E357" s="117"/>
      <c r="F357" s="117"/>
      <c r="G357" s="117"/>
      <c r="H357" s="117"/>
      <c r="I357" s="47"/>
      <c r="J357" s="47"/>
      <c r="K357" s="47"/>
      <c r="L357" s="120"/>
      <c r="M357" s="69"/>
      <c r="N357" s="118"/>
      <c r="O357" s="118"/>
      <c r="P357" s="118"/>
      <c r="Q357" s="118"/>
      <c r="R357" s="118"/>
      <c r="S357" s="118"/>
      <c r="T357" s="119"/>
    </row>
    <row r="358" spans="2:20" ht="15" thickBot="1" x14ac:dyDescent="0.35">
      <c r="B358" s="116"/>
      <c r="C358" s="117"/>
      <c r="E358" s="117"/>
      <c r="F358" s="117"/>
      <c r="G358" s="117"/>
      <c r="H358" s="117"/>
      <c r="I358" s="47"/>
      <c r="J358" s="46"/>
      <c r="K358" s="47"/>
      <c r="L358" s="76"/>
      <c r="M358" s="130"/>
      <c r="N358" s="118"/>
      <c r="O358" s="118"/>
      <c r="P358" s="118"/>
      <c r="Q358" s="118"/>
      <c r="R358" s="118"/>
      <c r="S358" s="118"/>
      <c r="T358" s="119"/>
    </row>
    <row r="359" spans="2:20" x14ac:dyDescent="0.3">
      <c r="B359" s="117"/>
      <c r="C359" s="117"/>
      <c r="E359" s="117"/>
      <c r="F359" s="117"/>
      <c r="G359" s="117"/>
      <c r="H359" s="117"/>
      <c r="I359" s="47"/>
      <c r="J359" s="46"/>
      <c r="K359" s="47"/>
      <c r="L359" s="76"/>
      <c r="M359" s="14"/>
      <c r="N359" s="118"/>
      <c r="O359" s="118"/>
      <c r="P359" s="118"/>
      <c r="Q359" s="118"/>
      <c r="R359" s="118"/>
      <c r="S359" s="118"/>
      <c r="T359" s="127"/>
    </row>
    <row r="360" spans="2:20" ht="15" thickBot="1" x14ac:dyDescent="0.35">
      <c r="B360" s="116"/>
      <c r="C360" s="117"/>
      <c r="E360" s="117"/>
      <c r="F360" s="117"/>
      <c r="G360" s="117"/>
      <c r="H360" s="117"/>
      <c r="I360" s="47"/>
      <c r="J360" s="47"/>
      <c r="K360" s="47"/>
      <c r="L360" s="76"/>
      <c r="M360" s="130"/>
      <c r="N360" s="118"/>
      <c r="O360" s="118"/>
      <c r="P360" s="118"/>
      <c r="Q360" s="118"/>
      <c r="R360" s="118"/>
      <c r="S360" s="118"/>
      <c r="T360" s="119"/>
    </row>
    <row r="361" spans="2:20" ht="15" thickBot="1" x14ac:dyDescent="0.35">
      <c r="B361" s="116"/>
      <c r="C361" s="117"/>
      <c r="E361" s="117"/>
      <c r="F361" s="117"/>
      <c r="G361" s="117"/>
      <c r="H361" s="117"/>
      <c r="I361" s="47"/>
      <c r="J361" s="47"/>
      <c r="K361" s="47"/>
      <c r="L361" s="76"/>
      <c r="M361" s="130"/>
      <c r="N361" s="118"/>
      <c r="O361" s="118"/>
      <c r="P361" s="118"/>
      <c r="Q361" s="118"/>
      <c r="R361" s="118"/>
      <c r="S361" s="118"/>
      <c r="T361" s="119"/>
    </row>
    <row r="362" spans="2:20" ht="15" thickBot="1" x14ac:dyDescent="0.35">
      <c r="B362" s="116"/>
      <c r="C362" s="117"/>
      <c r="E362" s="117"/>
      <c r="F362" s="117"/>
      <c r="G362" s="117"/>
      <c r="H362" s="117"/>
      <c r="I362" s="47"/>
      <c r="J362" s="47"/>
      <c r="K362" s="47"/>
      <c r="L362" s="76"/>
      <c r="M362" s="130"/>
      <c r="N362" s="118"/>
      <c r="O362" s="118"/>
      <c r="P362" s="118"/>
      <c r="Q362" s="118"/>
      <c r="R362" s="118"/>
      <c r="S362" s="118"/>
      <c r="T362" s="119"/>
    </row>
    <row r="363" spans="2:20" ht="15" thickBot="1" x14ac:dyDescent="0.35">
      <c r="B363" s="116"/>
      <c r="C363" s="117"/>
      <c r="E363" s="117"/>
      <c r="F363" s="117"/>
      <c r="G363" s="117"/>
      <c r="H363" s="117"/>
      <c r="I363" s="47"/>
      <c r="J363" s="47"/>
      <c r="K363" s="47"/>
      <c r="L363" s="76"/>
      <c r="M363" s="130"/>
      <c r="N363" s="118"/>
      <c r="O363" s="118"/>
      <c r="P363" s="118"/>
      <c r="Q363" s="118"/>
      <c r="R363" s="118"/>
      <c r="S363" s="118"/>
      <c r="T363" s="119"/>
    </row>
    <row r="364" spans="2:20" ht="15" thickBot="1" x14ac:dyDescent="0.35">
      <c r="B364" s="116"/>
      <c r="C364" s="117"/>
      <c r="E364" s="117"/>
      <c r="F364" s="117"/>
      <c r="G364" s="117"/>
      <c r="H364" s="117"/>
      <c r="I364" s="47"/>
      <c r="J364" s="46"/>
      <c r="K364" s="47"/>
      <c r="L364" s="76"/>
      <c r="M364" s="130"/>
      <c r="N364" s="118"/>
      <c r="O364" s="118"/>
      <c r="P364" s="118"/>
      <c r="Q364" s="118"/>
      <c r="R364" s="118"/>
      <c r="S364" s="118"/>
      <c r="T364" s="119"/>
    </row>
    <row r="365" spans="2:20" ht="15" thickBot="1" x14ac:dyDescent="0.35">
      <c r="B365" s="116"/>
      <c r="C365" s="117"/>
      <c r="E365" s="117"/>
      <c r="F365" s="117"/>
      <c r="G365" s="117"/>
      <c r="H365" s="117"/>
      <c r="I365" s="47"/>
      <c r="J365" s="46"/>
      <c r="K365" s="47"/>
      <c r="L365" s="76"/>
      <c r="M365" s="130"/>
      <c r="N365" s="118"/>
      <c r="O365" s="118"/>
      <c r="P365" s="118"/>
      <c r="Q365" s="118"/>
      <c r="R365" s="118"/>
      <c r="S365" s="118"/>
      <c r="T365" s="119"/>
    </row>
    <row r="366" spans="2:20" ht="15.6" x14ac:dyDescent="0.3">
      <c r="B366" s="117"/>
      <c r="C366" s="117"/>
      <c r="D366" s="117"/>
      <c r="E366" s="117"/>
      <c r="F366" s="117"/>
      <c r="G366" s="117"/>
      <c r="H366" s="117"/>
      <c r="I366" s="47"/>
      <c r="J366" s="47"/>
      <c r="K366" s="47"/>
      <c r="L366" s="120"/>
      <c r="M366" s="134"/>
      <c r="N366" s="118"/>
      <c r="O366" s="118"/>
      <c r="P366" s="118"/>
      <c r="Q366" s="118"/>
      <c r="R366" s="118"/>
      <c r="S366" s="118"/>
      <c r="T366" s="131"/>
    </row>
    <row r="367" spans="2:20" ht="18" x14ac:dyDescent="0.3">
      <c r="B367" s="117"/>
      <c r="C367" s="117"/>
      <c r="D367" s="117"/>
      <c r="E367" s="117"/>
      <c r="F367" s="117"/>
      <c r="G367" s="117"/>
      <c r="H367" s="117"/>
      <c r="I367" s="47"/>
      <c r="J367" s="47"/>
      <c r="K367" s="47"/>
      <c r="L367" s="132"/>
      <c r="M367" s="134"/>
      <c r="N367" s="118"/>
      <c r="O367" s="118"/>
      <c r="P367" s="118"/>
      <c r="Q367" s="118"/>
      <c r="R367" s="118"/>
      <c r="S367" s="118"/>
      <c r="T367" s="133"/>
    </row>
  </sheetData>
  <dataConsolidate link="1"/>
  <mergeCells count="24">
    <mergeCell ref="Z22:Z23"/>
    <mergeCell ref="AA22:AA23"/>
    <mergeCell ref="V34:W34"/>
    <mergeCell ref="V1:Y1"/>
    <mergeCell ref="V6:Y6"/>
    <mergeCell ref="V29:W29"/>
    <mergeCell ref="X29:Y29"/>
    <mergeCell ref="V28:AA28"/>
    <mergeCell ref="V25:W25"/>
    <mergeCell ref="X34:AA34"/>
    <mergeCell ref="X25:AA25"/>
    <mergeCell ref="Z29:AA29"/>
    <mergeCell ref="AA6:AC6"/>
    <mergeCell ref="AA1:AC1"/>
    <mergeCell ref="X22:X23"/>
    <mergeCell ref="Y22:Y23"/>
    <mergeCell ref="V11:Y11"/>
    <mergeCell ref="V17:W17"/>
    <mergeCell ref="X17:Y17"/>
    <mergeCell ref="Z17:AA17"/>
    <mergeCell ref="X19:X21"/>
    <mergeCell ref="Y19:Y21"/>
    <mergeCell ref="Z19:Z21"/>
    <mergeCell ref="AA19:AA21"/>
  </mergeCells>
  <phoneticPr fontId="13" type="noConversion"/>
  <conditionalFormatting sqref="A1">
    <cfRule type="duplicateValues" dxfId="348" priority="53"/>
    <cfRule type="duplicateValues" dxfId="347" priority="52"/>
  </conditionalFormatting>
  <conditionalFormatting sqref="A2:A3 A6:A25">
    <cfRule type="duplicateValues" dxfId="346" priority="45"/>
  </conditionalFormatting>
  <conditionalFormatting sqref="A2:A3 A6:A320">
    <cfRule type="duplicateValues" dxfId="345" priority="47"/>
  </conditionalFormatting>
  <conditionalFormatting sqref="A2:A3 A6:A328 A331:A350">
    <cfRule type="duplicateValues" dxfId="344" priority="41"/>
    <cfRule type="duplicateValues" dxfId="343" priority="30"/>
  </conditionalFormatting>
  <conditionalFormatting sqref="A2:A3">
    <cfRule type="duplicateValues" dxfId="342" priority="39"/>
  </conditionalFormatting>
  <conditionalFormatting sqref="A8:A320">
    <cfRule type="duplicateValues" dxfId="341" priority="46"/>
  </conditionalFormatting>
  <conditionalFormatting sqref="A10:A320">
    <cfRule type="duplicateValues" dxfId="340" priority="16"/>
  </conditionalFormatting>
  <conditionalFormatting sqref="A78:A115">
    <cfRule type="duplicateValues" dxfId="339" priority="44"/>
  </conditionalFormatting>
  <conditionalFormatting sqref="A82:A83">
    <cfRule type="duplicateValues" dxfId="338" priority="48"/>
  </conditionalFormatting>
  <conditionalFormatting sqref="A85:A86">
    <cfRule type="duplicateValues" dxfId="337" priority="42"/>
  </conditionalFormatting>
  <conditionalFormatting sqref="A92:A94">
    <cfRule type="duplicateValues" dxfId="336" priority="43"/>
  </conditionalFormatting>
  <conditionalFormatting sqref="A96:A105">
    <cfRule type="duplicateValues" dxfId="335" priority="49"/>
  </conditionalFormatting>
  <conditionalFormatting sqref="A97:A130">
    <cfRule type="duplicateValues" dxfId="334" priority="36"/>
    <cfRule type="duplicateValues" dxfId="333" priority="37"/>
  </conditionalFormatting>
  <conditionalFormatting sqref="A107:A111">
    <cfRule type="duplicateValues" dxfId="332" priority="40"/>
  </conditionalFormatting>
  <conditionalFormatting sqref="A112:A113">
    <cfRule type="duplicateValues" dxfId="331" priority="38"/>
  </conditionalFormatting>
  <conditionalFormatting sqref="A123:A134">
    <cfRule type="duplicateValues" dxfId="330" priority="50"/>
  </conditionalFormatting>
  <conditionalFormatting sqref="A130:A134">
    <cfRule type="duplicateValues" dxfId="329" priority="51"/>
  </conditionalFormatting>
  <conditionalFormatting sqref="A132:A134">
    <cfRule type="duplicateValues" dxfId="328" priority="31"/>
    <cfRule type="duplicateValues" dxfId="327" priority="32"/>
    <cfRule type="duplicateValues" dxfId="326" priority="33"/>
    <cfRule type="duplicateValues" dxfId="325" priority="34"/>
    <cfRule type="duplicateValues" dxfId="324" priority="35"/>
  </conditionalFormatting>
  <conditionalFormatting sqref="A192:A196">
    <cfRule type="duplicateValues" dxfId="323" priority="29"/>
  </conditionalFormatting>
  <conditionalFormatting sqref="A203:A241 A243:A313">
    <cfRule type="duplicateValues" dxfId="322" priority="27"/>
    <cfRule type="duplicateValues" dxfId="321" priority="28"/>
  </conditionalFormatting>
  <conditionalFormatting sqref="A297:A298">
    <cfRule type="duplicateValues" dxfId="320" priority="17"/>
    <cfRule type="duplicateValues" dxfId="319" priority="20"/>
    <cfRule type="duplicateValues" dxfId="318" priority="21"/>
    <cfRule type="duplicateValues" dxfId="317" priority="22"/>
    <cfRule type="duplicateValues" dxfId="316" priority="23"/>
    <cfRule type="duplicateValues" dxfId="315" priority="24"/>
    <cfRule type="duplicateValues" dxfId="314" priority="18"/>
    <cfRule type="duplicateValues" dxfId="313" priority="19"/>
  </conditionalFormatting>
  <conditionalFormatting sqref="A313:A315">
    <cfRule type="duplicateValues" dxfId="312" priority="25"/>
    <cfRule type="duplicateValues" dxfId="311" priority="26"/>
  </conditionalFormatting>
  <conditionalFormatting sqref="A329">
    <cfRule type="duplicateValues" dxfId="310" priority="13"/>
    <cfRule type="duplicateValues" dxfId="309" priority="14"/>
  </conditionalFormatting>
  <conditionalFormatting sqref="A14:B14">
    <cfRule type="duplicateValues" dxfId="308" priority="79"/>
    <cfRule type="duplicateValues" dxfId="307" priority="75"/>
    <cfRule type="duplicateValues" dxfId="306" priority="74"/>
    <cfRule type="duplicateValues" dxfId="305" priority="73"/>
    <cfRule type="duplicateValues" dxfId="304" priority="72"/>
    <cfRule type="duplicateValues" dxfId="303" priority="71"/>
    <cfRule type="duplicateValues" dxfId="302" priority="80"/>
  </conditionalFormatting>
  <conditionalFormatting sqref="A17:B17">
    <cfRule type="duplicateValues" dxfId="301" priority="457"/>
  </conditionalFormatting>
  <conditionalFormatting sqref="A30:B30">
    <cfRule type="duplicateValues" dxfId="300" priority="82"/>
  </conditionalFormatting>
  <conditionalFormatting sqref="A33:B33">
    <cfRule type="duplicateValues" dxfId="299" priority="194"/>
    <cfRule type="duplicateValues" dxfId="298" priority="195"/>
  </conditionalFormatting>
  <conditionalFormatting sqref="A39:B39">
    <cfRule type="duplicateValues" dxfId="297" priority="278"/>
    <cfRule type="duplicateValues" dxfId="296" priority="286"/>
  </conditionalFormatting>
  <conditionalFormatting sqref="A59:B59">
    <cfRule type="duplicateValues" dxfId="295" priority="193"/>
  </conditionalFormatting>
  <conditionalFormatting sqref="A60:B60">
    <cfRule type="duplicateValues" dxfId="294" priority="306"/>
  </conditionalFormatting>
  <conditionalFormatting sqref="A75:B75">
    <cfRule type="duplicateValues" dxfId="293" priority="63"/>
    <cfRule type="duplicateValues" dxfId="292" priority="65"/>
    <cfRule type="duplicateValues" dxfId="291" priority="70"/>
    <cfRule type="duplicateValues" dxfId="290" priority="64"/>
    <cfRule type="duplicateValues" dxfId="289" priority="66"/>
    <cfRule type="duplicateValues" dxfId="288" priority="67"/>
    <cfRule type="duplicateValues" dxfId="287" priority="68"/>
    <cfRule type="duplicateValues" dxfId="286" priority="69"/>
  </conditionalFormatting>
  <conditionalFormatting sqref="A80:B80">
    <cfRule type="duplicateValues" dxfId="285" priority="325"/>
    <cfRule type="duplicateValues" dxfId="284" priority="326"/>
  </conditionalFormatting>
  <conditionalFormatting sqref="A81:B81">
    <cfRule type="duplicateValues" dxfId="283" priority="1562"/>
  </conditionalFormatting>
  <conditionalFormatting sqref="A84:B84">
    <cfRule type="duplicateValues" dxfId="282" priority="289"/>
  </conditionalFormatting>
  <conditionalFormatting sqref="A91:B91">
    <cfRule type="duplicateValues" dxfId="281" priority="285"/>
  </conditionalFormatting>
  <conditionalFormatting sqref="A111:B111">
    <cfRule type="duplicateValues" dxfId="280" priority="181"/>
  </conditionalFormatting>
  <conditionalFormatting sqref="A118:B118">
    <cfRule type="duplicateValues" dxfId="279" priority="184"/>
  </conditionalFormatting>
  <conditionalFormatting sqref="A121:B121">
    <cfRule type="duplicateValues" dxfId="278" priority="151"/>
    <cfRule type="duplicateValues" dxfId="277" priority="182"/>
    <cfRule type="duplicateValues" dxfId="276" priority="152"/>
  </conditionalFormatting>
  <conditionalFormatting sqref="A124:B124">
    <cfRule type="duplicateValues" dxfId="275" priority="120"/>
    <cfRule type="duplicateValues" dxfId="274" priority="119"/>
    <cfRule type="duplicateValues" dxfId="273" priority="118"/>
    <cfRule type="duplicateValues" dxfId="272" priority="167"/>
  </conditionalFormatting>
  <conditionalFormatting sqref="A127:B127">
    <cfRule type="duplicateValues" dxfId="271" priority="117"/>
    <cfRule type="duplicateValues" dxfId="270" priority="116"/>
    <cfRule type="duplicateValues" dxfId="269" priority="115"/>
    <cfRule type="duplicateValues" dxfId="268" priority="114"/>
    <cfRule type="duplicateValues" dxfId="267" priority="161"/>
  </conditionalFormatting>
  <conditionalFormatting sqref="A130:B130">
    <cfRule type="duplicateValues" dxfId="266" priority="180"/>
    <cfRule type="duplicateValues" dxfId="265" priority="179"/>
    <cfRule type="duplicateValues" dxfId="264" priority="178"/>
  </conditionalFormatting>
  <conditionalFormatting sqref="A134:B134">
    <cfRule type="duplicateValues" dxfId="263" priority="163"/>
    <cfRule type="duplicateValues" dxfId="262" priority="164"/>
    <cfRule type="duplicateValues" dxfId="261" priority="165"/>
    <cfRule type="duplicateValues" dxfId="260" priority="162"/>
    <cfRule type="duplicateValues" dxfId="259" priority="156"/>
    <cfRule type="duplicateValues" dxfId="258" priority="157"/>
    <cfRule type="duplicateValues" dxfId="257" priority="158"/>
    <cfRule type="duplicateValues" dxfId="256" priority="159"/>
    <cfRule type="duplicateValues" dxfId="255" priority="160"/>
    <cfRule type="duplicateValues" dxfId="254" priority="171"/>
    <cfRule type="duplicateValues" dxfId="253" priority="170"/>
    <cfRule type="duplicateValues" dxfId="252" priority="169"/>
    <cfRule type="duplicateValues" dxfId="251" priority="168"/>
    <cfRule type="duplicateValues" dxfId="250" priority="166"/>
    <cfRule type="duplicateValues" dxfId="249" priority="172"/>
  </conditionalFormatting>
  <conditionalFormatting sqref="A142:B142">
    <cfRule type="duplicateValues" dxfId="248" priority="133"/>
    <cfRule type="duplicateValues" dxfId="247" priority="134"/>
    <cfRule type="duplicateValues" dxfId="246" priority="135"/>
    <cfRule type="duplicateValues" dxfId="245" priority="136"/>
    <cfRule type="duplicateValues" dxfId="244" priority="137"/>
    <cfRule type="duplicateValues" dxfId="243" priority="105"/>
    <cfRule type="duplicateValues" dxfId="242" priority="106"/>
    <cfRule type="duplicateValues" dxfId="241" priority="107"/>
    <cfRule type="duplicateValues" dxfId="240" priority="108"/>
    <cfRule type="duplicateValues" dxfId="239" priority="109"/>
    <cfRule type="duplicateValues" dxfId="238" priority="110"/>
    <cfRule type="duplicateValues" dxfId="237" priority="111"/>
    <cfRule type="duplicateValues" dxfId="236" priority="112"/>
    <cfRule type="duplicateValues" dxfId="235" priority="113"/>
  </conditionalFormatting>
  <conditionalFormatting sqref="A192:B192">
    <cfRule type="duplicateValues" dxfId="234" priority="126"/>
  </conditionalFormatting>
  <conditionalFormatting sqref="A195:B195">
    <cfRule type="duplicateValues" dxfId="233" priority="125"/>
  </conditionalFormatting>
  <conditionalFormatting sqref="A197:B197">
    <cfRule type="duplicateValues" dxfId="232" priority="127"/>
    <cfRule type="duplicateValues" dxfId="231" priority="128"/>
    <cfRule type="duplicateValues" dxfId="230" priority="129"/>
    <cfRule type="duplicateValues" dxfId="229" priority="130"/>
    <cfRule type="duplicateValues" dxfId="228" priority="132"/>
    <cfRule type="duplicateValues" dxfId="227" priority="131"/>
  </conditionalFormatting>
  <conditionalFormatting sqref="A199:B199">
    <cfRule type="duplicateValues" dxfId="226" priority="123"/>
    <cfRule type="duplicateValues" dxfId="225" priority="124"/>
  </conditionalFormatting>
  <conditionalFormatting sqref="A242:B242">
    <cfRule type="duplicateValues" dxfId="224" priority="88"/>
    <cfRule type="duplicateValues" dxfId="223" priority="87"/>
    <cfRule type="duplicateValues" dxfId="222" priority="86"/>
    <cfRule type="duplicateValues" dxfId="221" priority="89"/>
    <cfRule type="duplicateValues" dxfId="220" priority="90"/>
    <cfRule type="duplicateValues" dxfId="219" priority="91"/>
  </conditionalFormatting>
  <conditionalFormatting sqref="A311:B311">
    <cfRule type="duplicateValues" dxfId="218" priority="103"/>
    <cfRule type="duplicateValues" dxfId="217" priority="102"/>
  </conditionalFormatting>
  <conditionalFormatting sqref="A316:B316">
    <cfRule type="duplicateValues" dxfId="216" priority="92"/>
    <cfRule type="duplicateValues" dxfId="215" priority="93"/>
    <cfRule type="duplicateValues" dxfId="214" priority="94"/>
    <cfRule type="duplicateValues" dxfId="213" priority="99"/>
    <cfRule type="duplicateValues" dxfId="212" priority="95"/>
    <cfRule type="duplicateValues" dxfId="211" priority="96"/>
    <cfRule type="duplicateValues" dxfId="210" priority="98"/>
    <cfRule type="duplicateValues" dxfId="209" priority="97"/>
  </conditionalFormatting>
  <conditionalFormatting sqref="B1:B3 B352:B357 B6:B329 B366:B1048576 B331:B350">
    <cfRule type="duplicateValues" dxfId="208" priority="207"/>
    <cfRule type="duplicateValues" dxfId="207" priority="150"/>
  </conditionalFormatting>
  <conditionalFormatting sqref="B2:B3 B6:B25">
    <cfRule type="duplicateValues" dxfId="206" priority="460"/>
  </conditionalFormatting>
  <conditionalFormatting sqref="B2:B3 B6:B320">
    <cfRule type="duplicateValues" dxfId="205" priority="1494"/>
  </conditionalFormatting>
  <conditionalFormatting sqref="B2:B3">
    <cfRule type="duplicateValues" dxfId="204" priority="196"/>
  </conditionalFormatting>
  <conditionalFormatting sqref="B8:B320">
    <cfRule type="duplicateValues" dxfId="203" priority="1493"/>
  </conditionalFormatting>
  <conditionalFormatting sqref="B10:B320">
    <cfRule type="duplicateValues" dxfId="202" priority="54"/>
  </conditionalFormatting>
  <conditionalFormatting sqref="B78:B115">
    <cfRule type="duplicateValues" dxfId="201" priority="280"/>
  </conditionalFormatting>
  <conditionalFormatting sqref="B82:B83">
    <cfRule type="duplicateValues" dxfId="200" priority="1554"/>
  </conditionalFormatting>
  <conditionalFormatting sqref="B85:B86">
    <cfRule type="duplicateValues" dxfId="199" priority="276"/>
  </conditionalFormatting>
  <conditionalFormatting sqref="B92:B94">
    <cfRule type="duplicateValues" dxfId="198" priority="279"/>
  </conditionalFormatting>
  <conditionalFormatting sqref="B96:B105">
    <cfRule type="duplicateValues" dxfId="197" priority="2787"/>
  </conditionalFormatting>
  <conditionalFormatting sqref="B97:B130">
    <cfRule type="duplicateValues" dxfId="196" priority="185"/>
    <cfRule type="duplicateValues" dxfId="195" priority="186"/>
  </conditionalFormatting>
  <conditionalFormatting sqref="B107:B111">
    <cfRule type="duplicateValues" dxfId="194" priority="197"/>
  </conditionalFormatting>
  <conditionalFormatting sqref="B112:B113">
    <cfRule type="duplicateValues" dxfId="193" priority="192"/>
  </conditionalFormatting>
  <conditionalFormatting sqref="B123:B134">
    <cfRule type="duplicateValues" dxfId="192" priority="3160"/>
  </conditionalFormatting>
  <conditionalFormatting sqref="B130:B134">
    <cfRule type="duplicateValues" dxfId="191" priority="3162"/>
  </conditionalFormatting>
  <conditionalFormatting sqref="B132:B134">
    <cfRule type="duplicateValues" dxfId="190" priority="176"/>
    <cfRule type="duplicateValues" dxfId="189" priority="177"/>
    <cfRule type="duplicateValues" dxfId="188" priority="173"/>
    <cfRule type="duplicateValues" dxfId="187" priority="174"/>
    <cfRule type="duplicateValues" dxfId="186" priority="175"/>
  </conditionalFormatting>
  <conditionalFormatting sqref="B192:B196">
    <cfRule type="duplicateValues" dxfId="185" priority="149"/>
  </conditionalFormatting>
  <conditionalFormatting sqref="B203:B241 B243:B313">
    <cfRule type="duplicateValues" dxfId="184" priority="122"/>
    <cfRule type="duplicateValues" dxfId="183" priority="121"/>
  </conditionalFormatting>
  <conditionalFormatting sqref="B297:B298">
    <cfRule type="duplicateValues" dxfId="182" priority="59"/>
    <cfRule type="duplicateValues" dxfId="181" priority="58"/>
    <cfRule type="duplicateValues" dxfId="180" priority="57"/>
    <cfRule type="duplicateValues" dxfId="179" priority="56"/>
    <cfRule type="duplicateValues" dxfId="178" priority="55"/>
    <cfRule type="duplicateValues" dxfId="177" priority="62"/>
    <cfRule type="duplicateValues" dxfId="176" priority="60"/>
    <cfRule type="duplicateValues" dxfId="175" priority="61"/>
  </conditionalFormatting>
  <conditionalFormatting sqref="B313:B315">
    <cfRule type="duplicateValues" dxfId="174" priority="101"/>
    <cfRule type="duplicateValues" dxfId="173" priority="100"/>
  </conditionalFormatting>
  <conditionalFormatting sqref="B365">
    <cfRule type="duplicateValues" dxfId="172" priority="12"/>
    <cfRule type="duplicateValues" dxfId="171" priority="11"/>
    <cfRule type="duplicateValues" dxfId="170" priority="10"/>
    <cfRule type="duplicateValues" dxfId="169" priority="9"/>
  </conditionalFormatting>
  <conditionalFormatting sqref="M351">
    <cfRule type="duplicateValues" dxfId="168" priority="1"/>
    <cfRule type="duplicateValues" dxfId="167" priority="3"/>
    <cfRule type="duplicateValues" dxfId="166" priority="4"/>
    <cfRule type="duplicateValues" dxfId="165" priority="8"/>
    <cfRule type="duplicateValues" dxfId="164" priority="7"/>
    <cfRule type="duplicateValues" dxfId="163" priority="6"/>
    <cfRule type="duplicateValues" dxfId="162" priority="5"/>
    <cfRule type="duplicateValues" dxfId="161" priority="2"/>
  </conditionalFormatting>
  <conditionalFormatting sqref="T1:T256 T266 T270 T275 T284:T291 T305 T309 T331:T344 T351:T358 T360:T365 T368:T1048576">
    <cfRule type="duplicateValues" dxfId="160" priority="104"/>
    <cfRule type="duplicateValues" dxfId="159" priority="83"/>
    <cfRule type="duplicateValues" dxfId="158" priority="148"/>
  </conditionalFormatting>
  <conditionalFormatting sqref="AJ60:AK60 BA60:BB60 BR60:BS60 CI60:CJ60 CZ60:DA60 DQ60:DR60 EH60:EI60 EY60:EZ60 FP60:FQ60 GG60:GH60 GX60:GY60 HO60:HP60 IF60:IG60 IW60:IX60 JN60:JO60 KE60:KF60 KV60:KW60 LM60:LN60 MD60:ME60 MU60:MV60 NL60:NM60 OC60:OD60 OT60:OU60 PK60:PL60 QB60:QC60 QS60:QT60 RJ60:RK60 SA60:SB60 SR60:SS60 TI60:TJ60 TZ60:UA60 UQ60:UR60 VH60:VI60 VY60:VZ60 WP60:WQ60 XG60:XH60 XX60:XY60 YO60:YP60 ZF60:ZG60 ZW60:ZX60 AAN60:AAO60 ABE60:ABF60 ABV60:ABW60 ACM60:ACN60 ADD60:ADE60 ADU60:ADV60 AEL60:AEM60 AFC60:AFD60 AFT60:AFU60 AGK60:AGL60 AHB60:AHC60 AHS60:AHT60 AIJ60:AIK60 AJA60:AJB60 AJR60:AJS60 AKI60:AKJ60 AKZ60:ALA60 ALQ60:ALR60 AMH60:AMI60 AMY60:AMZ60 ANP60:ANQ60 AOG60:AOH60 AOX60:AOY60 APO60:APP60 AQF60:AQG60 AQW60:AQX60 ARN60:ARO60 ASE60:ASF60 ASV60:ASW60 ATM60:ATN60 AUD60:AUE60 AUU60:AUV60 AVL60:AVM60 AWC60:AWD60 AWT60:AWU60 AXK60:AXL60 AYB60:AYC60 AYS60:AYT60 AZJ60:AZK60 BAA60:BAB60 BAR60:BAS60 BBI60:BBJ60 BBZ60:BCA60 BCQ60:BCR60 BDH60:BDI60 BDY60:BDZ60 BEP60:BEQ60 BFG60:BFH60 BFX60:BFY60 BGO60:BGP60 BHF60:BHG60 BHW60:BHX60 BIN60:BIO60 BJE60:BJF60 BJV60:BJW60 BKM60:BKN60 BLD60:BLE60 BLU60:BLV60 BML60:BMM60 BNC60:BND60 BNT60:BNU60 BOK60:BOL60 BPB60:BPC60 BPS60:BPT60 BQJ60:BQK60 BRA60:BRB60 BRR60:BRS60 BSI60:BSJ60 BSZ60:BTA60 BTQ60:BTR60 BUH60:BUI60 BUY60:BUZ60 BVP60:BVQ60 BWG60:BWH60 BWX60:BWY60 BXO60:BXP60 BYF60:BYG60 BYW60:BYX60 BZN60:BZO60 CAE60:CAF60 CAV60:CAW60 CBM60:CBN60 CCD60:CCE60 CCU60:CCV60 CDL60:CDM60 CEC60:CED60 CET60:CEU60 CFK60:CFL60 CGB60:CGC60 CGS60:CGT60 CHJ60:CHK60 CIA60:CIB60 CIR60:CIS60 CJI60:CJJ60 CJZ60:CKA60 CKQ60:CKR60 CLH60:CLI60 CLY60:CLZ60 CMP60:CMQ60 CNG60:CNH60 CNX60:CNY60 COO60:COP60 CPF60:CPG60 CPW60:CPX60 CQN60:CQO60 CRE60:CRF60 CRV60:CRW60 CSM60:CSN60 CTD60:CTE60 CTU60:CTV60 CUL60:CUM60 CVC60:CVD60 CVT60:CVU60 CWK60:CWL60 CXB60:CXC60 CXS60:CXT60 CYJ60:CYK60 CZA60:CZB60 CZR60:CZS60 DAI60:DAJ60 DAZ60:DBA60 DBQ60:DBR60 DCH60:DCI60 DCY60:DCZ60 DDP60:DDQ60 DEG60:DEH60 DEX60:DEY60 DFO60:DFP60 DGF60:DGG60 DGW60:DGX60 DHN60:DHO60 DIE60:DIF60 DIV60:DIW60 DJM60:DJN60 DKD60:DKE60 DKU60:DKV60 DLL60:DLM60 DMC60:DMD60 DMT60:DMU60 DNK60:DNL60 DOB60:DOC60 DOS60:DOT60 DPJ60:DPK60 DQA60:DQB60 DQR60:DQS60 DRI60:DRJ60 DRZ60:DSA60 DSQ60:DSR60 DTH60:DTI60 DTY60:DTZ60 DUP60:DUQ60 DVG60:DVH60 DVX60:DVY60 DWO60:DWP60 DXF60:DXG60 DXW60:DXX60 DYN60:DYO60 DZE60:DZF60 DZV60:DZW60 EAM60:EAN60 EBD60:EBE60 EBU60:EBV60 ECL60:ECM60 EDC60:EDD60 EDT60:EDU60 EEK60:EEL60 EFB60:EFC60 EFS60:EFT60 EGJ60:EGK60 EHA60:EHB60 EHR60:EHS60 EII60:EIJ60 EIZ60:EJA60 EJQ60:EJR60 EKH60:EKI60 EKY60:EKZ60 ELP60:ELQ60 EMG60:EMH60 EMX60:EMY60 ENO60:ENP60 EOF60:EOG60 EOW60:EOX60 EPN60:EPO60 EQE60:EQF60 EQV60:EQW60 ERM60:ERN60 ESD60:ESE60 ESU60:ESV60 ETL60:ETM60 EUC60:EUD60 EUT60:EUU60 EVK60:EVL60 EWB60:EWC60 EWS60:EWT60 EXJ60:EXK60 EYA60:EYB60 EYR60:EYS60 EZI60:EZJ60 EZZ60:FAA60 FAQ60:FAR60 FBH60:FBI60 FBY60:FBZ60 FCP60:FCQ60 FDG60:FDH60 FDX60:FDY60 FEO60:FEP60 FFF60:FFG60 FFW60:FFX60 FGN60:FGO60 FHE60:FHF60 FHV60:FHW60 FIM60:FIN60 FJD60:FJE60 FJU60:FJV60 FKL60:FKM60 FLC60:FLD60 FLT60:FLU60 FMK60:FML60 FNB60:FNC60 FNS60:FNT60 FOJ60:FOK60 FPA60:FPB60 FPR60:FPS60 FQI60:FQJ60 FQZ60:FRA60 FRQ60:FRR60 FSH60:FSI60 FSY60:FSZ60 FTP60:FTQ60 FUG60:FUH60 FUX60:FUY60 FVO60:FVP60 FWF60:FWG60 FWW60:FWX60 FXN60:FXO60 FYE60:FYF60 FYV60:FYW60 FZM60:FZN60 GAD60:GAE60 GAU60:GAV60 GBL60:GBM60 GCC60:GCD60 GCT60:GCU60 GDK60:GDL60 GEB60:GEC60 GES60:GET60 GFJ60:GFK60 GGA60:GGB60 GGR60:GGS60 GHI60:GHJ60 GHZ60:GIA60 GIQ60:GIR60 GJH60:GJI60 GJY60:GJZ60 GKP60:GKQ60 GLG60:GLH60 GLX60:GLY60 GMO60:GMP60 GNF60:GNG60 GNW60:GNX60 GON60:GOO60 GPE60:GPF60 GPV60:GPW60 GQM60:GQN60 GRD60:GRE60 GRU60:GRV60 GSL60:GSM60 GTC60:GTD60 GTT60:GTU60 GUK60:GUL60 GVB60:GVC60 GVS60:GVT60 GWJ60:GWK60 GXA60:GXB60 GXR60:GXS60 GYI60:GYJ60 GYZ60:GZA60 GZQ60:GZR60 HAH60:HAI60 HAY60:HAZ60 HBP60:HBQ60 HCG60:HCH60 HCX60:HCY60 HDO60:HDP60 HEF60:HEG60 HEW60:HEX60 HFN60:HFO60 HGE60:HGF60 HGV60:HGW60 HHM60:HHN60 HID60:HIE60 HIU60:HIV60 HJL60:HJM60 HKC60:HKD60 HKT60:HKU60 HLK60:HLL60 HMB60:HMC60 HMS60:HMT60 HNJ60:HNK60 HOA60:HOB60 HOR60:HOS60 HPI60:HPJ60 HPZ60:HQA60 HQQ60:HQR60 HRH60:HRI60 HRY60:HRZ60 HSP60:HSQ60 HTG60:HTH60 HTX60:HTY60 HUO60:HUP60 HVF60:HVG60 HVW60:HVX60 HWN60:HWO60 HXE60:HXF60 HXV60:HXW60 HYM60:HYN60 HZD60:HZE60 HZU60:HZV60 IAL60:IAM60 IBC60:IBD60 IBT60:IBU60 ICK60:ICL60 IDB60:IDC60 IDS60:IDT60 IEJ60:IEK60 IFA60:IFB60 IFR60:IFS60 IGI60:IGJ60 IGZ60:IHA60 IHQ60:IHR60 IIH60:III60 IIY60:IIZ60 IJP60:IJQ60 IKG60:IKH60 IKX60:IKY60 ILO60:ILP60 IMF60:IMG60 IMW60:IMX60 INN60:INO60 IOE60:IOF60 IOV60:IOW60 IPM60:IPN60 IQD60:IQE60 IQU60:IQV60 IRL60:IRM60 ISC60:ISD60 IST60:ISU60 ITK60:ITL60 IUB60:IUC60 IUS60:IUT60 IVJ60:IVK60 IWA60:IWB60 IWR60:IWS60 IXI60:IXJ60 IXZ60:IYA60 IYQ60:IYR60 IZH60:IZI60 IZY60:IZZ60 JAP60:JAQ60 JBG60:JBH60 JBX60:JBY60 JCO60:JCP60 JDF60:JDG60 JDW60:JDX60 JEN60:JEO60 JFE60:JFF60 JFV60:JFW60 JGM60:JGN60 JHD60:JHE60 JHU60:JHV60 JIL60:JIM60 JJC60:JJD60 JJT60:JJU60 JKK60:JKL60 JLB60:JLC60 JLS60:JLT60 JMJ60:JMK60 JNA60:JNB60 JNR60:JNS60 JOI60:JOJ60 JOZ60:JPA60 JPQ60:JPR60 JQH60:JQI60 JQY60:JQZ60 JRP60:JRQ60 JSG60:JSH60 JSX60:JSY60 JTO60:JTP60 JUF60:JUG60 JUW60:JUX60 JVN60:JVO60 JWE60:JWF60 JWV60:JWW60 JXM60:JXN60 JYD60:JYE60 JYU60:JYV60 JZL60:JZM60 KAC60:KAD60 KAT60:KAU60 KBK60:KBL60 KCB60:KCC60 KCS60:KCT60 KDJ60:KDK60 KEA60:KEB60 KER60:KES60 KFI60:KFJ60 KFZ60:KGA60 KGQ60:KGR60 KHH60:KHI60 KHY60:KHZ60 KIP60:KIQ60 KJG60:KJH60 KJX60:KJY60 KKO60:KKP60 KLF60:KLG60 KLW60:KLX60 KMN60:KMO60 KNE60:KNF60 KNV60:KNW60 KOM60:KON60 KPD60:KPE60 KPU60:KPV60 KQL60:KQM60 KRC60:KRD60 KRT60:KRU60 KSK60:KSL60 KTB60:KTC60 KTS60:KTT60 KUJ60:KUK60 KVA60:KVB60 KVR60:KVS60 KWI60:KWJ60 KWZ60:KXA60 KXQ60:KXR60 KYH60:KYI60 KYY60:KYZ60 KZP60:KZQ60 LAG60:LAH60 LAX60:LAY60 LBO60:LBP60 LCF60:LCG60 LCW60:LCX60 LDN60:LDO60 LEE60:LEF60 LEV60:LEW60 LFM60:LFN60 LGD60:LGE60 LGU60:LGV60 LHL60:LHM60 LIC60:LID60 LIT60:LIU60 LJK60:LJL60 LKB60:LKC60 LKS60:LKT60 LLJ60:LLK60 LMA60:LMB60 LMR60:LMS60 LNI60:LNJ60 LNZ60:LOA60 LOQ60:LOR60 LPH60:LPI60 LPY60:LPZ60 LQP60:LQQ60 LRG60:LRH60 LRX60:LRY60 LSO60:LSP60 LTF60:LTG60 LTW60:LTX60 LUN60:LUO60 LVE60:LVF60 LVV60:LVW60 LWM60:LWN60 LXD60:LXE60 LXU60:LXV60 LYL60:LYM60 LZC60:LZD60 LZT60:LZU60 MAK60:MAL60 MBB60:MBC60 MBS60:MBT60 MCJ60:MCK60 MDA60:MDB60 MDR60:MDS60 MEI60:MEJ60 MEZ60:MFA60 MFQ60:MFR60 MGH60:MGI60 MGY60:MGZ60 MHP60:MHQ60 MIG60:MIH60 MIX60:MIY60 MJO60:MJP60 MKF60:MKG60 MKW60:MKX60 MLN60:MLO60 MME60:MMF60 MMV60:MMW60 MNM60:MNN60 MOD60:MOE60 MOU60:MOV60 MPL60:MPM60 MQC60:MQD60 MQT60:MQU60 MRK60:MRL60 MSB60:MSC60 MSS60:MST60 MTJ60:MTK60 MUA60:MUB60 MUR60:MUS60 MVI60:MVJ60 MVZ60:MWA60 MWQ60:MWR60 MXH60:MXI60 MXY60:MXZ60 MYP60:MYQ60 MZG60:MZH60 MZX60:MZY60 NAO60:NAP60 NBF60:NBG60 NBW60:NBX60 NCN60:NCO60 NDE60:NDF60 NDV60:NDW60 NEM60:NEN60 NFD60:NFE60 NFU60:NFV60 NGL60:NGM60 NHC60:NHD60 NHT60:NHU60 NIK60:NIL60 NJB60:NJC60 NJS60:NJT60 NKJ60:NKK60 NLA60:NLB60 NLR60:NLS60 NMI60:NMJ60 NMZ60:NNA60 NNQ60:NNR60 NOH60:NOI60 NOY60:NOZ60 NPP60:NPQ60 NQG60:NQH60 NQX60:NQY60 NRO60:NRP60 NSF60:NSG60 NSW60:NSX60 NTN60:NTO60 NUE60:NUF60 NUV60:NUW60 NVM60:NVN60 NWD60:NWE60 NWU60:NWV60 NXL60:NXM60 NYC60:NYD60 NYT60:NYU60 NZK60:NZL60 OAB60:OAC60 OAS60:OAT60 OBJ60:OBK60 OCA60:OCB60 OCR60:OCS60 ODI60:ODJ60 ODZ60:OEA60 OEQ60:OER60 OFH60:OFI60 OFY60:OFZ60 OGP60:OGQ60 OHG60:OHH60 OHX60:OHY60 OIO60:OIP60 OJF60:OJG60 OJW60:OJX60 OKN60:OKO60 OLE60:OLF60 OLV60:OLW60 OMM60:OMN60 OND60:ONE60 ONU60:ONV60 OOL60:OOM60 OPC60:OPD60 OPT60:OPU60 OQK60:OQL60 ORB60:ORC60 ORS60:ORT60 OSJ60:OSK60 OTA60:OTB60 OTR60:OTS60 OUI60:OUJ60 OUZ60:OVA60 OVQ60:OVR60 OWH60:OWI60 OWY60:OWZ60 OXP60:OXQ60 OYG60:OYH60 OYX60:OYY60 OZO60:OZP60 PAF60:PAG60 PAW60:PAX60 PBN60:PBO60 PCE60:PCF60 PCV60:PCW60 PDM60:PDN60 PED60:PEE60 PEU60:PEV60 PFL60:PFM60 PGC60:PGD60 PGT60:PGU60 PHK60:PHL60 PIB60:PIC60 PIS60:PIT60 PJJ60:PJK60 PKA60:PKB60 PKR60:PKS60 PLI60:PLJ60 PLZ60:PMA60 PMQ60:PMR60 PNH60:PNI60 PNY60:PNZ60 POP60:POQ60 PPG60:PPH60 PPX60:PPY60 PQO60:PQP60 PRF60:PRG60 PRW60:PRX60 PSN60:PSO60 PTE60:PTF60 PTV60:PTW60 PUM60:PUN60 PVD60:PVE60 PVU60:PVV60 PWL60:PWM60 PXC60:PXD60 PXT60:PXU60 PYK60:PYL60 PZB60:PZC60 PZS60:PZT60 QAJ60:QAK60 QBA60:QBB60 QBR60:QBS60 QCI60:QCJ60 QCZ60:QDA60 QDQ60:QDR60 QEH60:QEI60 QEY60:QEZ60 QFP60:QFQ60 QGG60:QGH60 QGX60:QGY60 QHO60:QHP60 QIF60:QIG60 QIW60:QIX60 QJN60:QJO60 QKE60:QKF60 QKV60:QKW60 QLM60:QLN60 QMD60:QME60 QMU60:QMV60 QNL60:QNM60 QOC60:QOD60 QOT60:QOU60 QPK60:QPL60 QQB60:QQC60 QQS60:QQT60 QRJ60:QRK60 QSA60:QSB60 QSR60:QSS60 QTI60:QTJ60 QTZ60:QUA60 QUQ60:QUR60 QVH60:QVI60 QVY60:QVZ60 QWP60:QWQ60 QXG60:QXH60 QXX60:QXY60 QYO60:QYP60 QZF60:QZG60 QZW60:QZX60 RAN60:RAO60 RBE60:RBF60 RBV60:RBW60 RCM60:RCN60 RDD60:RDE60 RDU60:RDV60 REL60:REM60 RFC60:RFD60 RFT60:RFU60 RGK60:RGL60 RHB60:RHC60 RHS60:RHT60 RIJ60:RIK60 RJA60:RJB60 RJR60:RJS60 RKI60:RKJ60 RKZ60:RLA60 RLQ60:RLR60 RMH60:RMI60 RMY60:RMZ60 RNP60:RNQ60 ROG60:ROH60 ROX60:ROY60 RPO60:RPP60 RQF60:RQG60 RQW60:RQX60 RRN60:RRO60 RSE60:RSF60 RSV60:RSW60 RTM60:RTN60 RUD60:RUE60 RUU60:RUV60 RVL60:RVM60 RWC60:RWD60 RWT60:RWU60 RXK60:RXL60 RYB60:RYC60 RYS60:RYT60 RZJ60:RZK60 SAA60:SAB60 SAR60:SAS60 SBI60:SBJ60 SBZ60:SCA60 SCQ60:SCR60 SDH60:SDI60 SDY60:SDZ60 SEP60:SEQ60 SFG60:SFH60 SFX60:SFY60 SGO60:SGP60 SHF60:SHG60 SHW60:SHX60 SIN60:SIO60 SJE60:SJF60 SJV60:SJW60 SKM60:SKN60 SLD60:SLE60 SLU60:SLV60 SML60:SMM60 SNC60:SND60 SNT60:SNU60 SOK60:SOL60 SPB60:SPC60 SPS60:SPT60 SQJ60:SQK60 SRA60:SRB60 SRR60:SRS60 SSI60:SSJ60 SSZ60:STA60 STQ60:STR60 SUH60:SUI60 SUY60:SUZ60 SVP60:SVQ60 SWG60:SWH60 SWX60:SWY60 SXO60:SXP60 SYF60:SYG60 SYW60:SYX60 SZN60:SZO60 TAE60:TAF60 TAV60:TAW60 TBM60:TBN60 TCD60:TCE60 TCU60:TCV60 TDL60:TDM60 TEC60:TED60 TET60:TEU60 TFK60:TFL60 TGB60:TGC60 TGS60:TGT60 THJ60:THK60 TIA60:TIB60 TIR60:TIS60 TJI60:TJJ60 TJZ60:TKA60 TKQ60:TKR60 TLH60:TLI60 TLY60:TLZ60 TMP60:TMQ60 TNG60:TNH60 TNX60:TNY60 TOO60:TOP60 TPF60:TPG60 TPW60:TPX60 TQN60:TQO60 TRE60:TRF60 TRV60:TRW60 TSM60:TSN60 TTD60:TTE60 TTU60:TTV60 TUL60:TUM60 TVC60:TVD60 TVT60:TVU60 TWK60:TWL60 TXB60:TXC60 TXS60:TXT60 TYJ60:TYK60 TZA60:TZB60 TZR60:TZS60 UAI60:UAJ60 UAZ60:UBA60 UBQ60:UBR60 UCH60:UCI60 UCY60:UCZ60 UDP60:UDQ60 UEG60:UEH60 UEX60:UEY60 UFO60:UFP60 UGF60:UGG60 UGW60:UGX60 UHN60:UHO60 UIE60:UIF60 UIV60:UIW60 UJM60:UJN60 UKD60:UKE60 UKU60:UKV60 ULL60:ULM60 UMC60:UMD60 UMT60:UMU60 UNK60:UNL60 UOB60:UOC60 UOS60:UOT60 UPJ60:UPK60 UQA60:UQB60 UQR60:UQS60 URI60:URJ60 URZ60:USA60 USQ60:USR60 UTH60:UTI60 UTY60:UTZ60 UUP60:UUQ60 UVG60:UVH60 UVX60:UVY60 UWO60:UWP60 UXF60:UXG60 UXW60:UXX60 UYN60:UYO60 UZE60:UZF60 UZV60:UZW60 VAM60:VAN60 VBD60:VBE60 VBU60:VBV60 VCL60:VCM60 VDC60:VDD60 VDT60:VDU60 VEK60:VEL60 VFB60:VFC60 VFS60:VFT60 VGJ60:VGK60 VHA60:VHB60 VHR60:VHS60 VII60:VIJ60 VIZ60:VJA60 VJQ60:VJR60 VKH60:VKI60 VKY60:VKZ60 VLP60:VLQ60 VMG60:VMH60 VMX60:VMY60 VNO60:VNP60 VOF60:VOG60 VOW60:VOX60 VPN60:VPO60 VQE60:VQF60 VQV60:VQW60 VRM60:VRN60 VSD60:VSE60 VSU60:VSV60 VTL60:VTM60 VUC60:VUD60 VUT60:VUU60 VVK60:VVL60 VWB60:VWC60 VWS60:VWT60 VXJ60:VXK60 VYA60:VYB60 VYR60:VYS60 VZI60:VZJ60 VZZ60:WAA60 WAQ60:WAR60 WBH60:WBI60 WBY60:WBZ60 WCP60:WCQ60 WDG60:WDH60 WDX60:WDY60 WEO60:WEP60 WFF60:WFG60 WFW60:WFX60 WGN60:WGO60 WHE60:WHF60 WHV60:WHW60 WIM60:WIN60 WJD60:WJE60 WJU60:WJV60 WKL60:WKM60 WLC60:WLD60 WLT60:WLU60 WMK60:WML60 WNB60:WNC60 WNS60:WNT60 WOJ60:WOK60 WPA60:WPB60 WPR60:WPS60 WQI60:WQJ60 WQZ60:WRA60 WRQ60:WRR60 WSH60:WSI60 WSY60:WSZ60 WTP60:WTQ60 WUG60:WUH60 WUX60:WUY60 WVO60:WVP60 WWF60:WWG60 WWW60:WWX60 WXN60:WXO60 WYE60:WYF60 WYV60:WYW60 WZM60:WZN60 XAD60:XAE60 XAU60:XAV60 XBL60:XBM60 XCC60:XCD60 XCT60:XCU60 XDK60:XDL60 XEB60:XEC60 XES60:XET60">
    <cfRule type="duplicateValues" dxfId="157" priority="327"/>
  </conditionalFormatting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12" id="{B3A8A3A8-2267-4172-BFF7-775E4A3DC7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N84:N87</xm:sqref>
        </x14:conditionalFormatting>
        <x14:conditionalFormatting xmlns:xm="http://schemas.microsoft.com/office/excel/2006/main">
          <x14:cfRule type="iconSet" priority="2791" id="{BE8FB032-8909-4613-B394-C73FBFCFE8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N89:N146 N148:N167 N169:N182</xm:sqref>
        </x14:conditionalFormatting>
        <x14:conditionalFormatting xmlns:xm="http://schemas.microsoft.com/office/excel/2006/main">
          <x14:cfRule type="iconSet" priority="2700" id="{40CC27C0-EF2B-4B03-B2EB-DB02543CE4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N2:S59 N61:S81</xm:sqref>
        </x14:conditionalFormatting>
        <x14:conditionalFormatting xmlns:xm="http://schemas.microsoft.com/office/excel/2006/main">
          <x14:cfRule type="iconSet" priority="1727" id="{52AB2414-2B58-434F-B6AE-D6F8E8E9F9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N82:S83</xm:sqref>
        </x14:conditionalFormatting>
        <x14:conditionalFormatting xmlns:xm="http://schemas.microsoft.com/office/excel/2006/main">
          <x14:cfRule type="iconSet" priority="1729" id="{D1629028-67F6-4346-BE32-3C78DE5103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N88:S88</xm:sqref>
        </x14:conditionalFormatting>
        <x14:conditionalFormatting xmlns:xm="http://schemas.microsoft.com/office/excel/2006/main">
          <x14:cfRule type="iconSet" priority="84" id="{9C2719F8-10FE-457A-B288-613DDF5D37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N168:S168 N147:S147</xm:sqref>
        </x14:conditionalFormatting>
        <x14:conditionalFormatting xmlns:xm="http://schemas.microsoft.com/office/excel/2006/main">
          <x14:cfRule type="iconSet" priority="85" id="{DF8C6D97-76C8-4A28-AC93-9ED674D137C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N183:S316</xm:sqref>
        </x14:conditionalFormatting>
        <x14:conditionalFormatting xmlns:xm="http://schemas.microsoft.com/office/excel/2006/main">
          <x14:cfRule type="iconSet" priority="15" id="{27EA7D8F-FA6F-4E15-9385-83C6EFEE55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N338:S349 N321:S336 N317:S319 N350:O350 Q350:S350</xm:sqref>
        </x14:conditionalFormatting>
        <x14:conditionalFormatting xmlns:xm="http://schemas.microsoft.com/office/excel/2006/main">
          <x14:cfRule type="iconSet" priority="1714" id="{91ED4168-55E0-4A0C-AF1D-F0E8FE0B3A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O84:O87</xm:sqref>
        </x14:conditionalFormatting>
        <x14:conditionalFormatting xmlns:xm="http://schemas.microsoft.com/office/excel/2006/main">
          <x14:cfRule type="iconSet" priority="273" id="{A242C6EF-B1D2-4A58-B673-626C29CA6D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O89</xm:sqref>
        </x14:conditionalFormatting>
        <x14:conditionalFormatting xmlns:xm="http://schemas.microsoft.com/office/excel/2006/main">
          <x14:cfRule type="iconSet" priority="267" id="{5AEBD0EC-0537-4CF4-B321-BE632A0D96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O90</xm:sqref>
        </x14:conditionalFormatting>
        <x14:conditionalFormatting xmlns:xm="http://schemas.microsoft.com/office/excel/2006/main">
          <x14:cfRule type="iconSet" priority="261" id="{ADDAB55A-948B-4486-B1ED-8B4DB1CF0F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O91</xm:sqref>
        </x14:conditionalFormatting>
        <x14:conditionalFormatting xmlns:xm="http://schemas.microsoft.com/office/excel/2006/main">
          <x14:cfRule type="iconSet" priority="255" id="{705C3B95-D5B5-433F-9147-B5CBA92EB4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O92</xm:sqref>
        </x14:conditionalFormatting>
        <x14:conditionalFormatting xmlns:xm="http://schemas.microsoft.com/office/excel/2006/main">
          <x14:cfRule type="iconSet" priority="249" id="{5A093AD3-DE91-4097-B639-A86417446F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O93</xm:sqref>
        </x14:conditionalFormatting>
        <x14:conditionalFormatting xmlns:xm="http://schemas.microsoft.com/office/excel/2006/main">
          <x14:cfRule type="iconSet" priority="243" id="{5ECE5AAA-B2F6-4305-B53C-E71BCF3B74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O94</xm:sqref>
        </x14:conditionalFormatting>
        <x14:conditionalFormatting xmlns:xm="http://schemas.microsoft.com/office/excel/2006/main">
          <x14:cfRule type="iconSet" priority="237" id="{12CF5DF7-DAEB-4A53-AB4B-D760121A52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O95</xm:sqref>
        </x14:conditionalFormatting>
        <x14:conditionalFormatting xmlns:xm="http://schemas.microsoft.com/office/excel/2006/main">
          <x14:cfRule type="iconSet" priority="231" id="{38A26915-D1FC-4157-A041-41A84F5FE95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O96</xm:sqref>
        </x14:conditionalFormatting>
        <x14:conditionalFormatting xmlns:xm="http://schemas.microsoft.com/office/excel/2006/main">
          <x14:cfRule type="iconSet" priority="225" id="{EDFE4703-9947-455E-8B59-138FE42524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O97</xm:sqref>
        </x14:conditionalFormatting>
        <x14:conditionalFormatting xmlns:xm="http://schemas.microsoft.com/office/excel/2006/main">
          <x14:cfRule type="iconSet" priority="219" id="{FC69CF70-80F8-442C-9D24-D61BE52D8D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O98</xm:sqref>
        </x14:conditionalFormatting>
        <x14:conditionalFormatting xmlns:xm="http://schemas.microsoft.com/office/excel/2006/main">
          <x14:cfRule type="iconSet" priority="2793" id="{22C4AF1F-F4A3-4A21-A9D2-86FE98148B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O99:O146 O148:O167 O169:O182</xm:sqref>
        </x14:conditionalFormatting>
        <x14:conditionalFormatting xmlns:xm="http://schemas.microsoft.com/office/excel/2006/main">
          <x14:cfRule type="iconSet" priority="1718" id="{151185CA-6762-4279-A9DB-89B5C10CE9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P84:P87</xm:sqref>
        </x14:conditionalFormatting>
        <x14:conditionalFormatting xmlns:xm="http://schemas.microsoft.com/office/excel/2006/main">
          <x14:cfRule type="iconSet" priority="271" id="{CA674932-7841-4BBA-9693-05C3A87B1A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P89</xm:sqref>
        </x14:conditionalFormatting>
        <x14:conditionalFormatting xmlns:xm="http://schemas.microsoft.com/office/excel/2006/main">
          <x14:cfRule type="iconSet" priority="265" id="{9BC0005A-4563-4DFE-A319-FC4C4F6773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P90</xm:sqref>
        </x14:conditionalFormatting>
        <x14:conditionalFormatting xmlns:xm="http://schemas.microsoft.com/office/excel/2006/main">
          <x14:cfRule type="iconSet" priority="259" id="{1FE1842B-31CC-438A-BA3E-5848A4E9E02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P91</xm:sqref>
        </x14:conditionalFormatting>
        <x14:conditionalFormatting xmlns:xm="http://schemas.microsoft.com/office/excel/2006/main">
          <x14:cfRule type="iconSet" priority="253" id="{CBD6BE6B-8F67-4782-BB77-5EDFC16A848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P92</xm:sqref>
        </x14:conditionalFormatting>
        <x14:conditionalFormatting xmlns:xm="http://schemas.microsoft.com/office/excel/2006/main">
          <x14:cfRule type="iconSet" priority="247" id="{03ACC5D4-40E4-494F-83F2-44730B6CFB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P93</xm:sqref>
        </x14:conditionalFormatting>
        <x14:conditionalFormatting xmlns:xm="http://schemas.microsoft.com/office/excel/2006/main">
          <x14:cfRule type="iconSet" priority="241" id="{01B43DD6-29E7-4522-BD1F-FC5EC16D5F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P94</xm:sqref>
        </x14:conditionalFormatting>
        <x14:conditionalFormatting xmlns:xm="http://schemas.microsoft.com/office/excel/2006/main">
          <x14:cfRule type="iconSet" priority="235" id="{6E80D73B-BFDB-491C-BCC9-7038B25E50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P95</xm:sqref>
        </x14:conditionalFormatting>
        <x14:conditionalFormatting xmlns:xm="http://schemas.microsoft.com/office/excel/2006/main">
          <x14:cfRule type="iconSet" priority="229" id="{D3338E60-AEE1-4EAB-8306-90BD9E3D7E2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P96</xm:sqref>
        </x14:conditionalFormatting>
        <x14:conditionalFormatting xmlns:xm="http://schemas.microsoft.com/office/excel/2006/main">
          <x14:cfRule type="iconSet" priority="223" id="{259F41C1-CF1E-4B75-8CE3-59EB85B0CD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P97</xm:sqref>
        </x14:conditionalFormatting>
        <x14:conditionalFormatting xmlns:xm="http://schemas.microsoft.com/office/excel/2006/main">
          <x14:cfRule type="iconSet" priority="217" id="{23AF58A8-963A-4D8A-B94C-FAD6B0F900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P98</xm:sqref>
        </x14:conditionalFormatting>
        <x14:conditionalFormatting xmlns:xm="http://schemas.microsoft.com/office/excel/2006/main">
          <x14:cfRule type="iconSet" priority="212" id="{7121C5E7-E43C-4411-9F7D-A8A572DE99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P99:P111 P114:P115 P118:P146 P148:P167 P169:P182</xm:sqref>
        </x14:conditionalFormatting>
        <x14:conditionalFormatting xmlns:xm="http://schemas.microsoft.com/office/excel/2006/main">
          <x14:cfRule type="iconSet" priority="191" id="{296D7E34-888B-4D16-BC45-01F6C8BF5CA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P116:P117 P112:P113</xm:sqref>
        </x14:conditionalFormatting>
        <x14:conditionalFormatting xmlns:xm="http://schemas.microsoft.com/office/excel/2006/main">
          <x14:cfRule type="iconSet" priority="1720" id="{7365F5DD-D0C3-4BC0-A6EE-A26FD40FB67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Q84:Q87</xm:sqref>
        </x14:conditionalFormatting>
        <x14:conditionalFormatting xmlns:xm="http://schemas.microsoft.com/office/excel/2006/main">
          <x14:cfRule type="iconSet" priority="270" id="{E7AC6CFD-FCF5-402B-913C-A877022322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Q89</xm:sqref>
        </x14:conditionalFormatting>
        <x14:conditionalFormatting xmlns:xm="http://schemas.microsoft.com/office/excel/2006/main">
          <x14:cfRule type="iconSet" priority="264" id="{17488D6D-BA43-4B92-B931-C9C6C8814E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Q90</xm:sqref>
        </x14:conditionalFormatting>
        <x14:conditionalFormatting xmlns:xm="http://schemas.microsoft.com/office/excel/2006/main">
          <x14:cfRule type="iconSet" priority="258" id="{36915E97-3EB9-4E97-AC4C-8AC7753B7D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Q91</xm:sqref>
        </x14:conditionalFormatting>
        <x14:conditionalFormatting xmlns:xm="http://schemas.microsoft.com/office/excel/2006/main">
          <x14:cfRule type="iconSet" priority="252" id="{7A6D2676-B10B-49CE-88C0-446A2926A6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Q92</xm:sqref>
        </x14:conditionalFormatting>
        <x14:conditionalFormatting xmlns:xm="http://schemas.microsoft.com/office/excel/2006/main">
          <x14:cfRule type="iconSet" priority="246" id="{97D7F099-EA39-4F93-8220-3BDC46F414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Q93</xm:sqref>
        </x14:conditionalFormatting>
        <x14:conditionalFormatting xmlns:xm="http://schemas.microsoft.com/office/excel/2006/main">
          <x14:cfRule type="iconSet" priority="240" id="{DD718CB0-F5FC-428B-B2D4-FFBFB5C9A7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Q94</xm:sqref>
        </x14:conditionalFormatting>
        <x14:conditionalFormatting xmlns:xm="http://schemas.microsoft.com/office/excel/2006/main">
          <x14:cfRule type="iconSet" priority="234" id="{000A0640-DEA2-4F70-9D2E-935C42CF61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Q95</xm:sqref>
        </x14:conditionalFormatting>
        <x14:conditionalFormatting xmlns:xm="http://schemas.microsoft.com/office/excel/2006/main">
          <x14:cfRule type="iconSet" priority="228" id="{C3023741-4F2D-460C-9105-9A9FDE3216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Q96</xm:sqref>
        </x14:conditionalFormatting>
        <x14:conditionalFormatting xmlns:xm="http://schemas.microsoft.com/office/excel/2006/main">
          <x14:cfRule type="iconSet" priority="222" id="{B2CFBFD0-CCFC-423B-96C6-72FB70A3A5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Q97</xm:sqref>
        </x14:conditionalFormatting>
        <x14:conditionalFormatting xmlns:xm="http://schemas.microsoft.com/office/excel/2006/main">
          <x14:cfRule type="iconSet" priority="216" id="{F157D133-5EB5-4A54-803F-5CDE3E755B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Q98</xm:sqref>
        </x14:conditionalFormatting>
        <x14:conditionalFormatting xmlns:xm="http://schemas.microsoft.com/office/excel/2006/main">
          <x14:cfRule type="iconSet" priority="2796" id="{4B46918C-5714-4D7A-8EA1-24948E05C1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Q99:Q146 Q148:Q167 Q169:Q182</xm:sqref>
        </x14:conditionalFormatting>
        <x14:conditionalFormatting xmlns:xm="http://schemas.microsoft.com/office/excel/2006/main">
          <x14:cfRule type="iconSet" priority="1722" id="{B42AD04B-E500-407A-90FE-0EE932DE372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R84:R87</xm:sqref>
        </x14:conditionalFormatting>
        <x14:conditionalFormatting xmlns:xm="http://schemas.microsoft.com/office/excel/2006/main">
          <x14:cfRule type="iconSet" priority="269" id="{DA517F27-E182-4CEC-AEF9-090956AD44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R89</xm:sqref>
        </x14:conditionalFormatting>
        <x14:conditionalFormatting xmlns:xm="http://schemas.microsoft.com/office/excel/2006/main">
          <x14:cfRule type="iconSet" priority="263" id="{802F1CEB-CC0E-4ABD-96F6-7280FBB7A2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R90</xm:sqref>
        </x14:conditionalFormatting>
        <x14:conditionalFormatting xmlns:xm="http://schemas.microsoft.com/office/excel/2006/main">
          <x14:cfRule type="iconSet" priority="257" id="{7EE44D2B-C5DE-4132-AEEF-6587B7DC9D4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R91</xm:sqref>
        </x14:conditionalFormatting>
        <x14:conditionalFormatting xmlns:xm="http://schemas.microsoft.com/office/excel/2006/main">
          <x14:cfRule type="iconSet" priority="251" id="{542DFCAD-1C93-4CE8-AB96-73D49740FB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R92</xm:sqref>
        </x14:conditionalFormatting>
        <x14:conditionalFormatting xmlns:xm="http://schemas.microsoft.com/office/excel/2006/main">
          <x14:cfRule type="iconSet" priority="245" id="{9A7F3E1C-0472-4DAE-8B35-C510EA02462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R93</xm:sqref>
        </x14:conditionalFormatting>
        <x14:conditionalFormatting xmlns:xm="http://schemas.microsoft.com/office/excel/2006/main">
          <x14:cfRule type="iconSet" priority="239" id="{C1825546-C6CF-4406-9BFA-4F95DC1872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R94</xm:sqref>
        </x14:conditionalFormatting>
        <x14:conditionalFormatting xmlns:xm="http://schemas.microsoft.com/office/excel/2006/main">
          <x14:cfRule type="iconSet" priority="233" id="{5ADB60C1-6EA8-4BC0-8EE6-350941246F8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R95</xm:sqref>
        </x14:conditionalFormatting>
        <x14:conditionalFormatting xmlns:xm="http://schemas.microsoft.com/office/excel/2006/main">
          <x14:cfRule type="iconSet" priority="227" id="{F6EDBEE7-41A0-4363-9D16-7F64A67720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R96</xm:sqref>
        </x14:conditionalFormatting>
        <x14:conditionalFormatting xmlns:xm="http://schemas.microsoft.com/office/excel/2006/main">
          <x14:cfRule type="iconSet" priority="221" id="{31B483D0-02BD-4D4B-B539-03FECA1AA3A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R97</xm:sqref>
        </x14:conditionalFormatting>
        <x14:conditionalFormatting xmlns:xm="http://schemas.microsoft.com/office/excel/2006/main">
          <x14:cfRule type="iconSet" priority="215" id="{028825A1-949F-426D-87F6-8FDA82792E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R98</xm:sqref>
        </x14:conditionalFormatting>
        <x14:conditionalFormatting xmlns:xm="http://schemas.microsoft.com/office/excel/2006/main">
          <x14:cfRule type="iconSet" priority="2798" id="{88FAF74C-0AC8-4EEC-85B1-66F6C8484E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R99:R146 R148:R167 R169:R182</xm:sqref>
        </x14:conditionalFormatting>
        <x14:conditionalFormatting xmlns:xm="http://schemas.microsoft.com/office/excel/2006/main">
          <x14:cfRule type="iconSet" priority="1724" id="{33537056-3D04-4391-A841-DCE8F57F08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S84:S87</xm:sqref>
        </x14:conditionalFormatting>
        <x14:conditionalFormatting xmlns:xm="http://schemas.microsoft.com/office/excel/2006/main">
          <x14:cfRule type="iconSet" priority="268" id="{26ABE89D-31A9-4ED8-B209-C0D74DF08C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S89</xm:sqref>
        </x14:conditionalFormatting>
        <x14:conditionalFormatting xmlns:xm="http://schemas.microsoft.com/office/excel/2006/main">
          <x14:cfRule type="iconSet" priority="262" id="{AAC6F6A5-B69F-4C2A-A025-C33A7506A0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S90</xm:sqref>
        </x14:conditionalFormatting>
        <x14:conditionalFormatting xmlns:xm="http://schemas.microsoft.com/office/excel/2006/main">
          <x14:cfRule type="iconSet" priority="256" id="{8185CEC5-5A38-43AD-8710-A1A08433C3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S91</xm:sqref>
        </x14:conditionalFormatting>
        <x14:conditionalFormatting xmlns:xm="http://schemas.microsoft.com/office/excel/2006/main">
          <x14:cfRule type="iconSet" priority="250" id="{043C6AF1-450C-4306-829C-50D7F05BD6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S92</xm:sqref>
        </x14:conditionalFormatting>
        <x14:conditionalFormatting xmlns:xm="http://schemas.microsoft.com/office/excel/2006/main">
          <x14:cfRule type="iconSet" priority="244" id="{F433BFBE-E414-4F83-864C-FDB997363C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S93</xm:sqref>
        </x14:conditionalFormatting>
        <x14:conditionalFormatting xmlns:xm="http://schemas.microsoft.com/office/excel/2006/main">
          <x14:cfRule type="iconSet" priority="238" id="{FDD6E6E4-D257-4DD3-8E12-257ACD08A5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S94</xm:sqref>
        </x14:conditionalFormatting>
        <x14:conditionalFormatting xmlns:xm="http://schemas.microsoft.com/office/excel/2006/main">
          <x14:cfRule type="iconSet" priority="232" id="{73B8B3A0-1C2E-4CA5-95A2-D9FA8F0DDF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S95</xm:sqref>
        </x14:conditionalFormatting>
        <x14:conditionalFormatting xmlns:xm="http://schemas.microsoft.com/office/excel/2006/main">
          <x14:cfRule type="iconSet" priority="226" id="{ED336FDE-78EC-4DE5-835A-E004EA1E19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S96</xm:sqref>
        </x14:conditionalFormatting>
        <x14:conditionalFormatting xmlns:xm="http://schemas.microsoft.com/office/excel/2006/main">
          <x14:cfRule type="iconSet" priority="220" id="{C90792C9-9B07-4B15-A38A-158B5D47943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S97</xm:sqref>
        </x14:conditionalFormatting>
        <x14:conditionalFormatting xmlns:xm="http://schemas.microsoft.com/office/excel/2006/main">
          <x14:cfRule type="iconSet" priority="214" id="{5EEBDA8E-2852-427B-9DF2-C122AEFF98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S98</xm:sqref>
        </x14:conditionalFormatting>
        <x14:conditionalFormatting xmlns:xm="http://schemas.microsoft.com/office/excel/2006/main">
          <x14:cfRule type="iconSet" priority="2800" id="{C9394BBC-C21A-49B0-BEC4-92477DFA60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S99:S146 S148:S167 S169:S182</xm:sqref>
        </x14:conditionalFormatting>
        <x14:conditionalFormatting xmlns:xm="http://schemas.microsoft.com/office/excel/2006/main">
          <x14:cfRule type="iconSet" priority="328" id="{8AB41A22-78FA-429A-B39D-654E481F922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AC60:AI60 AT60:AZ60 BK60:BQ60 CB60:CH60 CS60:CY60 DJ60:DP60 EA60:EG60 ER60:EX60 FI60:FO60 FZ60:GF60 GQ60:GW60 HH60:HN60 HY60:IE60 IP60:IV60 JG60:JM60 JX60:KD60 KO60:KU60 LF60:LL60 LW60:MC60 MN60:MT60 NE60:NK60 NV60:OB60 OM60:OS60 PD60:PJ60 PU60:QA60 QL60:QR60 RC60:RI60 RT60:RZ60 SK60:SQ60 TB60:TH60 TS60:TY60 UJ60:UP60 VA60:VG60 VR60:VX60 WI60:WO60 WZ60:XF60 XQ60:XW60 YH60:YN60 YY60:ZE60 ZP60:ZV60 AAG60:AAM60 AAX60:ABD60 ABO60:ABU60 ACF60:ACL60 ACW60:ADC60 ADN60:ADT60 AEE60:AEK60 AEV60:AFB60 AFM60:AFS60 AGD60:AGJ60 AGU60:AHA60 AHL60:AHR60 AIC60:AII60 AIT60:AIZ60 AJK60:AJQ60 AKB60:AKH60 AKS60:AKY60 ALJ60:ALP60 AMA60:AMG60 AMR60:AMX60 ANI60:ANO60 ANZ60:AOF60 AOQ60:AOW60 APH60:APN60 APY60:AQE60 AQP60:AQV60 ARG60:ARM60 ARX60:ASD60 ASO60:ASU60 ATF60:ATL60 ATW60:AUC60 AUN60:AUT60 AVE60:AVK60 AVV60:AWB60 AWM60:AWS60 AXD60:AXJ60 AXU60:AYA60 AYL60:AYR60 AZC60:AZI60 AZT60:AZZ60 BAK60:BAQ60 BBB60:BBH60 BBS60:BBY60 BCJ60:BCP60 BDA60:BDG60 BDR60:BDX60 BEI60:BEO60 BEZ60:BFF60 BFQ60:BFW60 BGH60:BGN60 BGY60:BHE60 BHP60:BHV60 BIG60:BIM60 BIX60:BJD60 BJO60:BJU60 BKF60:BKL60 BKW60:BLC60 BLN60:BLT60 BME60:BMK60 BMV60:BNB60 BNM60:BNS60 BOD60:BOJ60 BOU60:BPA60 BPL60:BPR60 BQC60:BQI60 BQT60:BQZ60 BRK60:BRQ60 BSB60:BSH60 BSS60:BSY60 BTJ60:BTP60 BUA60:BUG60 BUR60:BUX60 BVI60:BVO60 BVZ60:BWF60 BWQ60:BWW60 BXH60:BXN60 BXY60:BYE60 BYP60:BYV60 BZG60:BZM60 BZX60:CAD60 CAO60:CAU60 CBF60:CBL60 CBW60:CCC60 CCN60:CCT60 CDE60:CDK60 CDV60:CEB60 CEM60:CES60 CFD60:CFJ60 CFU60:CGA60 CGL60:CGR60 CHC60:CHI60 CHT60:CHZ60 CIK60:CIQ60 CJB60:CJH60 CJS60:CJY60 CKJ60:CKP60 CLA60:CLG60 CLR60:CLX60 CMI60:CMO60 CMZ60:CNF60 CNQ60:CNW60 COH60:CON60 COY60:CPE60 CPP60:CPV60 CQG60:CQM60 CQX60:CRD60 CRO60:CRU60 CSF60:CSL60 CSW60:CTC60 CTN60:CTT60 CUE60:CUK60 CUV60:CVB60 CVM60:CVS60 CWD60:CWJ60 CWU60:CXA60 CXL60:CXR60 CYC60:CYI60 CYT60:CYZ60 CZK60:CZQ60 DAB60:DAH60 DAS60:DAY60 DBJ60:DBP60 DCA60:DCG60 DCR60:DCX60 DDI60:DDO60 DDZ60:DEF60 DEQ60:DEW60 DFH60:DFN60 DFY60:DGE60 DGP60:DGV60 DHG60:DHM60 DHX60:DID60 DIO60:DIU60 DJF60:DJL60 DJW60:DKC60 DKN60:DKT60 DLE60:DLK60 DLV60:DMB60 DMM60:DMS60 DND60:DNJ60 DNU60:DOA60 DOL60:DOR60 DPC60:DPI60 DPT60:DPZ60 DQK60:DQQ60 DRB60:DRH60 DRS60:DRY60 DSJ60:DSP60 DTA60:DTG60 DTR60:DTX60 DUI60:DUO60 DUZ60:DVF60 DVQ60:DVW60 DWH60:DWN60 DWY60:DXE60 DXP60:DXV60 DYG60:DYM60 DYX60:DZD60 DZO60:DZU60 EAF60:EAL60 EAW60:EBC60 EBN60:EBT60 ECE60:ECK60 ECV60:EDB60 EDM60:EDS60 EED60:EEJ60 EEU60:EFA60 EFL60:EFR60 EGC60:EGI60 EGT60:EGZ60 EHK60:EHQ60 EIB60:EIH60 EIS60:EIY60 EJJ60:EJP60 EKA60:EKG60 EKR60:EKX60 ELI60:ELO60 ELZ60:EMF60 EMQ60:EMW60 ENH60:ENN60 ENY60:EOE60 EOP60:EOV60 EPG60:EPM60 EPX60:EQD60 EQO60:EQU60 ERF60:ERL60 ERW60:ESC60 ESN60:EST60 ETE60:ETK60 ETV60:EUB60 EUM60:EUS60 EVD60:EVJ60 EVU60:EWA60 EWL60:EWR60 EXC60:EXI60 EXT60:EXZ60 EYK60:EYQ60 EZB60:EZH60 EZS60:EZY60 FAJ60:FAP60 FBA60:FBG60 FBR60:FBX60 FCI60:FCO60 FCZ60:FDF60 FDQ60:FDW60 FEH60:FEN60 FEY60:FFE60 FFP60:FFV60 FGG60:FGM60 FGX60:FHD60 FHO60:FHU60 FIF60:FIL60 FIW60:FJC60 FJN60:FJT60 FKE60:FKK60 FKV60:FLB60 FLM60:FLS60 FMD60:FMJ60 FMU60:FNA60 FNL60:FNR60 FOC60:FOI60 FOT60:FOZ60 FPK60:FPQ60 FQB60:FQH60 FQS60:FQY60 FRJ60:FRP60 FSA60:FSG60 FSR60:FSX60 FTI60:FTO60 FTZ60:FUF60 FUQ60:FUW60 FVH60:FVN60 FVY60:FWE60 FWP60:FWV60 FXG60:FXM60 FXX60:FYD60 FYO60:FYU60 FZF60:FZL60 FZW60:GAC60 GAN60:GAT60 GBE60:GBK60 GBV60:GCB60 GCM60:GCS60 GDD60:GDJ60 GDU60:GEA60 GEL60:GER60 GFC60:GFI60 GFT60:GFZ60 GGK60:GGQ60 GHB60:GHH60 GHS60:GHY60 GIJ60:GIP60 GJA60:GJG60 GJR60:GJX60 GKI60:GKO60 GKZ60:GLF60 GLQ60:GLW60 GMH60:GMN60 GMY60:GNE60 GNP60:GNV60 GOG60:GOM60 GOX60:GPD60 GPO60:GPU60 GQF60:GQL60 GQW60:GRC60 GRN60:GRT60 GSE60:GSK60 GSV60:GTB60 GTM60:GTS60 GUD60:GUJ60 GUU60:GVA60 GVL60:GVR60 GWC60:GWI60 GWT60:GWZ60 GXK60:GXQ60 GYB60:GYH60 GYS60:GYY60 GZJ60:GZP60 HAA60:HAG60 HAR60:HAX60 HBI60:HBO60 HBZ60:HCF60 HCQ60:HCW60 HDH60:HDN60 HDY60:HEE60 HEP60:HEV60 HFG60:HFM60 HFX60:HGD60 HGO60:HGU60 HHF60:HHL60 HHW60:HIC60 HIN60:HIT60 HJE60:HJK60 HJV60:HKB60 HKM60:HKS60 HLD60:HLJ60 HLU60:HMA60 HML60:HMR60 HNC60:HNI60 HNT60:HNZ60 HOK60:HOQ60 HPB60:HPH60 HPS60:HPY60 HQJ60:HQP60 HRA60:HRG60 HRR60:HRX60 HSI60:HSO60 HSZ60:HTF60 HTQ60:HTW60 HUH60:HUN60 HUY60:HVE60 HVP60:HVV60 HWG60:HWM60 HWX60:HXD60 HXO60:HXU60 HYF60:HYL60 HYW60:HZC60 HZN60:HZT60 IAE60:IAK60 IAV60:IBB60 IBM60:IBS60 ICD60:ICJ60 ICU60:IDA60 IDL60:IDR60 IEC60:IEI60 IET60:IEZ60 IFK60:IFQ60 IGB60:IGH60 IGS60:IGY60 IHJ60:IHP60 IIA60:IIG60 IIR60:IIX60 IJI60:IJO60 IJZ60:IKF60 IKQ60:IKW60 ILH60:ILN60 ILY60:IME60 IMP60:IMV60 ING60:INM60 INX60:IOD60 IOO60:IOU60 IPF60:IPL60 IPW60:IQC60 IQN60:IQT60 IRE60:IRK60 IRV60:ISB60 ISM60:ISS60 ITD60:ITJ60 ITU60:IUA60 IUL60:IUR60 IVC60:IVI60 IVT60:IVZ60 IWK60:IWQ60 IXB60:IXH60 IXS60:IXY60 IYJ60:IYP60 IZA60:IZG60 IZR60:IZX60 JAI60:JAO60 JAZ60:JBF60 JBQ60:JBW60 JCH60:JCN60 JCY60:JDE60 JDP60:JDV60 JEG60:JEM60 JEX60:JFD60 JFO60:JFU60 JGF60:JGL60 JGW60:JHC60 JHN60:JHT60 JIE60:JIK60 JIV60:JJB60 JJM60:JJS60 JKD60:JKJ60 JKU60:JLA60 JLL60:JLR60 JMC60:JMI60 JMT60:JMZ60 JNK60:JNQ60 JOB60:JOH60 JOS60:JOY60 JPJ60:JPP60 JQA60:JQG60 JQR60:JQX60 JRI60:JRO60 JRZ60:JSF60 JSQ60:JSW60 JTH60:JTN60 JTY60:JUE60 JUP60:JUV60 JVG60:JVM60 JVX60:JWD60 JWO60:JWU60 JXF60:JXL60 JXW60:JYC60 JYN60:JYT60 JZE60:JZK60 JZV60:KAB60 KAM60:KAS60 KBD60:KBJ60 KBU60:KCA60 KCL60:KCR60 KDC60:KDI60 KDT60:KDZ60 KEK60:KEQ60 KFB60:KFH60 KFS60:KFY60 KGJ60:KGP60 KHA60:KHG60 KHR60:KHX60 KII60:KIO60 KIZ60:KJF60 KJQ60:KJW60 KKH60:KKN60 KKY60:KLE60 KLP60:KLV60 KMG60:KMM60 KMX60:KND60 KNO60:KNU60 KOF60:KOL60 KOW60:KPC60 KPN60:KPT60 KQE60:KQK60 KQV60:KRB60 KRM60:KRS60 KSD60:KSJ60 KSU60:KTA60 KTL60:KTR60 KUC60:KUI60 KUT60:KUZ60 KVK60:KVQ60 KWB60:KWH60 KWS60:KWY60 KXJ60:KXP60 KYA60:KYG60 KYR60:KYX60 KZI60:KZO60 KZZ60:LAF60 LAQ60:LAW60 LBH60:LBN60 LBY60:LCE60 LCP60:LCV60 LDG60:LDM60 LDX60:LED60 LEO60:LEU60 LFF60:LFL60 LFW60:LGC60 LGN60:LGT60 LHE60:LHK60 LHV60:LIB60 LIM60:LIS60 LJD60:LJJ60 LJU60:LKA60 LKL60:LKR60 LLC60:LLI60 LLT60:LLZ60 LMK60:LMQ60 LNB60:LNH60 LNS60:LNY60 LOJ60:LOP60 LPA60:LPG60 LPR60:LPX60 LQI60:LQO60 LQZ60:LRF60 LRQ60:LRW60 LSH60:LSN60 LSY60:LTE60 LTP60:LTV60 LUG60:LUM60 LUX60:LVD60 LVO60:LVU60 LWF60:LWL60 LWW60:LXC60 LXN60:LXT60 LYE60:LYK60 LYV60:LZB60 LZM60:LZS60 MAD60:MAJ60 MAU60:MBA60 MBL60:MBR60 MCC60:MCI60 MCT60:MCZ60 MDK60:MDQ60 MEB60:MEH60 MES60:MEY60 MFJ60:MFP60 MGA60:MGG60 MGR60:MGX60 MHI60:MHO60 MHZ60:MIF60 MIQ60:MIW60 MJH60:MJN60 MJY60:MKE60 MKP60:MKV60 MLG60:MLM60 MLX60:MMD60 MMO60:MMU60 MNF60:MNL60 MNW60:MOC60 MON60:MOT60 MPE60:MPK60 MPV60:MQB60 MQM60:MQS60 MRD60:MRJ60 MRU60:MSA60 MSL60:MSR60 MTC60:MTI60 MTT60:MTZ60 MUK60:MUQ60 MVB60:MVH60 MVS60:MVY60 MWJ60:MWP60 MXA60:MXG60 MXR60:MXX60 MYI60:MYO60 MYZ60:MZF60 MZQ60:MZW60 NAH60:NAN60 NAY60:NBE60 NBP60:NBV60 NCG60:NCM60 NCX60:NDD60 NDO60:NDU60 NEF60:NEL60 NEW60:NFC60 NFN60:NFT60 NGE60:NGK60 NGV60:NHB60 NHM60:NHS60 NID60:NIJ60 NIU60:NJA60 NJL60:NJR60 NKC60:NKI60 NKT60:NKZ60 NLK60:NLQ60 NMB60:NMH60 NMS60:NMY60 NNJ60:NNP60 NOA60:NOG60 NOR60:NOX60 NPI60:NPO60 NPZ60:NQF60 NQQ60:NQW60 NRH60:NRN60 NRY60:NSE60 NSP60:NSV60 NTG60:NTM60 NTX60:NUD60 NUO60:NUU60 NVF60:NVL60 NVW60:NWC60 NWN60:NWT60 NXE60:NXK60 NXV60:NYB60 NYM60:NYS60 NZD60:NZJ60 NZU60:OAA60 OAL60:OAR60 OBC60:OBI60 OBT60:OBZ60 OCK60:OCQ60 ODB60:ODH60 ODS60:ODY60 OEJ60:OEP60 OFA60:OFG60 OFR60:OFX60 OGI60:OGO60 OGZ60:OHF60 OHQ60:OHW60 OIH60:OIN60 OIY60:OJE60 OJP60:OJV60 OKG60:OKM60 OKX60:OLD60 OLO60:OLU60 OMF60:OML60 OMW60:ONC60 ONN60:ONT60 OOE60:OOK60 OOV60:OPB60 OPM60:OPS60 OQD60:OQJ60 OQU60:ORA60 ORL60:ORR60 OSC60:OSI60 OST60:OSZ60 OTK60:OTQ60 OUB60:OUH60 OUS60:OUY60 OVJ60:OVP60 OWA60:OWG60 OWR60:OWX60 OXI60:OXO60 OXZ60:OYF60 OYQ60:OYW60 OZH60:OZN60 OZY60:PAE60 PAP60:PAV60 PBG60:PBM60 PBX60:PCD60 PCO60:PCU60 PDF60:PDL60 PDW60:PEC60 PEN60:PET60 PFE60:PFK60 PFV60:PGB60 PGM60:PGS60 PHD60:PHJ60 PHU60:PIA60 PIL60:PIR60 PJC60:PJI60 PJT60:PJZ60 PKK60:PKQ60 PLB60:PLH60 PLS60:PLY60 PMJ60:PMP60 PNA60:PNG60 PNR60:PNX60 POI60:POO60 POZ60:PPF60 PPQ60:PPW60 PQH60:PQN60 PQY60:PRE60 PRP60:PRV60 PSG60:PSM60 PSX60:PTD60 PTO60:PTU60 PUF60:PUL60 PUW60:PVC60 PVN60:PVT60 PWE60:PWK60 PWV60:PXB60 PXM60:PXS60 PYD60:PYJ60 PYU60:PZA60 PZL60:PZR60 QAC60:QAI60 QAT60:QAZ60 QBK60:QBQ60 QCB60:QCH60 QCS60:QCY60 QDJ60:QDP60 QEA60:QEG60 QER60:QEX60 QFI60:QFO60 QFZ60:QGF60 QGQ60:QGW60 QHH60:QHN60 QHY60:QIE60 QIP60:QIV60 QJG60:QJM60 QJX60:QKD60 QKO60:QKU60 QLF60:QLL60 QLW60:QMC60 QMN60:QMT60 QNE60:QNK60 QNV60:QOB60 QOM60:QOS60 QPD60:QPJ60 QPU60:QQA60 QQL60:QQR60 QRC60:QRI60 QRT60:QRZ60 QSK60:QSQ60 QTB60:QTH60 QTS60:QTY60 QUJ60:QUP60 QVA60:QVG60 QVR60:QVX60 QWI60:QWO60 QWZ60:QXF60 QXQ60:QXW60 QYH60:QYN60 QYY60:QZE60 QZP60:QZV60 RAG60:RAM60 RAX60:RBD60 RBO60:RBU60 RCF60:RCL60 RCW60:RDC60 RDN60:RDT60 REE60:REK60 REV60:RFB60 RFM60:RFS60 RGD60:RGJ60 RGU60:RHA60 RHL60:RHR60 RIC60:RII60 RIT60:RIZ60 RJK60:RJQ60 RKB60:RKH60 RKS60:RKY60 RLJ60:RLP60 RMA60:RMG60 RMR60:RMX60 RNI60:RNO60 RNZ60:ROF60 ROQ60:ROW60 RPH60:RPN60 RPY60:RQE60 RQP60:RQV60 RRG60:RRM60 RRX60:RSD60 RSO60:RSU60 RTF60:RTL60 RTW60:RUC60 RUN60:RUT60 RVE60:RVK60 RVV60:RWB60 RWM60:RWS60 RXD60:RXJ60 RXU60:RYA60 RYL60:RYR60 RZC60:RZI60 RZT60:RZZ60 SAK60:SAQ60 SBB60:SBH60 SBS60:SBY60 SCJ60:SCP60 SDA60:SDG60 SDR60:SDX60 SEI60:SEO60 SEZ60:SFF60 SFQ60:SFW60 SGH60:SGN60 SGY60:SHE60 SHP60:SHV60 SIG60:SIM60 SIX60:SJD60 SJO60:SJU60 SKF60:SKL60 SKW60:SLC60 SLN60:SLT60 SME60:SMK60 SMV60:SNB60 SNM60:SNS60 SOD60:SOJ60 SOU60:SPA60 SPL60:SPR60 SQC60:SQI60 SQT60:SQZ60 SRK60:SRQ60 SSB60:SSH60 SSS60:SSY60 STJ60:STP60 SUA60:SUG60 SUR60:SUX60 SVI60:SVO60 SVZ60:SWF60 SWQ60:SWW60 SXH60:SXN60 SXY60:SYE60 SYP60:SYV60 SZG60:SZM60 SZX60:TAD60 TAO60:TAU60 TBF60:TBL60 TBW60:TCC60 TCN60:TCT60 TDE60:TDK60 TDV60:TEB60 TEM60:TES60 TFD60:TFJ60 TFU60:TGA60 TGL60:TGR60 THC60:THI60 THT60:THZ60 TIK60:TIQ60 TJB60:TJH60 TJS60:TJY60 TKJ60:TKP60 TLA60:TLG60 TLR60:TLX60 TMI60:TMO60 TMZ60:TNF60 TNQ60:TNW60 TOH60:TON60 TOY60:TPE60 TPP60:TPV60 TQG60:TQM60 TQX60:TRD60 TRO60:TRU60 TSF60:TSL60 TSW60:TTC60 TTN60:TTT60 TUE60:TUK60 TUV60:TVB60 TVM60:TVS60 TWD60:TWJ60 TWU60:TXA60 TXL60:TXR60 TYC60:TYI60 TYT60:TYZ60 TZK60:TZQ60 UAB60:UAH60 UAS60:UAY60 UBJ60:UBP60 UCA60:UCG60 UCR60:UCX60 UDI60:UDO60 UDZ60:UEF60 UEQ60:UEW60 UFH60:UFN60 UFY60:UGE60 UGP60:UGV60 UHG60:UHM60 UHX60:UID60 UIO60:UIU60 UJF60:UJL60 UJW60:UKC60 UKN60:UKT60 ULE60:ULK60 ULV60:UMB60 UMM60:UMS60 UND60:UNJ60 UNU60:UOA60 UOL60:UOR60 UPC60:UPI60 UPT60:UPZ60 UQK60:UQQ60 URB60:URH60 URS60:URY60 USJ60:USP60 UTA60:UTG60 UTR60:UTX60 UUI60:UUO60 UUZ60:UVF60 UVQ60:UVW60 UWH60:UWN60 UWY60:UXE60 UXP60:UXV60 UYG60:UYM60 UYX60:UZD60 UZO60:UZU60 VAF60:VAL60 VAW60:VBC60 VBN60:VBT60 VCE60:VCK60 VCV60:VDB60 VDM60:VDS60 VED60:VEJ60 VEU60:VFA60 VFL60:VFR60 VGC60:VGI60 VGT60:VGZ60 VHK60:VHQ60 VIB60:VIH60 VIS60:VIY60 VJJ60:VJP60 VKA60:VKG60 VKR60:VKX60 VLI60:VLO60 VLZ60:VMF60 VMQ60:VMW60 VNH60:VNN60 VNY60:VOE60 VOP60:VOV60 VPG60:VPM60 VPX60:VQD60 VQO60:VQU60 VRF60:VRL60 VRW60:VSC60 VSN60:VST60 VTE60:VTK60 VTV60:VUB60 VUM60:VUS60 VVD60:VVJ60 VVU60:VWA60 VWL60:VWR60 VXC60:VXI60 VXT60:VXZ60 VYK60:VYQ60 VZB60:VZH60 VZS60:VZY60 WAJ60:WAP60 WBA60:WBG60 WBR60:WBX60 WCI60:WCO60 WCZ60:WDF60 WDQ60:WDW60 WEH60:WEN60 WEY60:WFE60 WFP60:WFV60 WGG60:WGM60 WGX60:WHD60 WHO60:WHU60 WIF60:WIL60 WIW60:WJC60 WJN60:WJT60 WKE60:WKK60 WKV60:WLB60 WLM60:WLS60 WMD60:WMJ60 WMU60:WNA60 WNL60:WNR60 WOC60:WOI60 WOT60:WOZ60 WPK60:WPQ60 WQB60:WQH60 WQS60:WQY60 WRJ60:WRP60 WSA60:WSG60 WSR60:WSX60 WTI60:WTO60 WTZ60:WUF60 WUQ60:WUW60 WVH60:WVN60 WVY60:WWE60 WWP60:WWV60 WXG60:WXM60 WXX60:WYD60 WYO60:WYU60 WZF60:WZL60 WZW60:XAC60 XAN60:XAT60 XBE60:XBK60 XBV60:XCB60 XCM60:XCS60 XDD60:XDJ60 XDU60:XEA60 XEL60:XER60 XFC60:XFD60 N60:S60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72DB377-6DD7-4FC9-A420-9E85A3E78A61}">
          <x14:formula1>
            <xm:f>Sheet1!$L$12:$L$17</xm:f>
          </x14:formula1>
          <xm:sqref>X19 X31</xm:sqref>
        </x14:dataValidation>
        <x14:dataValidation type="list" allowBlank="1" showInputMessage="1" showErrorMessage="1" xr:uid="{F60E2B69-4D1D-49D8-BB1D-50169D607369}">
          <x14:formula1>
            <xm:f>Sheet1!$P$12:$P$18</xm:f>
          </x14:formula1>
          <xm:sqref>J1 J201:J308 J351 J353:J357 J360:J363 J366:J1048576</xm:sqref>
        </x14:dataValidation>
        <x14:dataValidation type="list" allowBlank="1" showInputMessage="1" showErrorMessage="1" xr:uid="{CCB7E112-FB85-4C3E-AD83-F2907F8662E8}">
          <x14:formula1>
            <xm:f>Sheet1!$P$12:$P$19</xm:f>
          </x14:formula1>
          <xm:sqref>J2:J200 J309:J350 J352 J358:J359 J364:J365</xm:sqref>
        </x14:dataValidation>
        <x14:dataValidation type="list" allowBlank="1" showInputMessage="1" showErrorMessage="1" xr:uid="{63555FAE-38F8-4FB2-979B-35934DCFC6DF}">
          <x14:formula1>
            <xm:f>Sheet1!$O$12:$O$13</xm:f>
          </x14:formula1>
          <xm:sqref>I1:I1048576</xm:sqref>
        </x14:dataValidation>
        <x14:dataValidation type="list" allowBlank="1" showInputMessage="1" showErrorMessage="1" xr:uid="{AC1E6C35-9316-43B4-9260-A2314512C964}">
          <x14:formula1>
            <xm:f>Sheet1!$S$12:$S$13</xm:f>
          </x14:formula1>
          <xm:sqref>C1:C1048576</xm:sqref>
        </x14:dataValidation>
        <x14:dataValidation type="list" allowBlank="1" showInputMessage="1" showErrorMessage="1" xr:uid="{39193F0B-8506-43E5-A674-18C5D90EAA74}">
          <x14:formula1>
            <xm:f>Sheet1!$J$13:$J$26</xm:f>
          </x14:formula1>
          <xm:sqref>H1</xm:sqref>
        </x14:dataValidation>
        <x14:dataValidation type="list" allowBlank="1" showInputMessage="1" showErrorMessage="1" xr:uid="{47853859-1257-4179-9C27-12D25EF91DD0}">
          <x14:formula1>
            <xm:f>Sheet1!$T$12:$T$14</xm:f>
          </x14:formula1>
          <xm:sqref>F1:F1048576</xm:sqref>
        </x14:dataValidation>
        <x14:dataValidation type="list" allowBlank="1" showInputMessage="1" showErrorMessage="1" xr:uid="{A510DB50-ED2F-41F2-839D-EDADFD781721}">
          <x14:formula1>
            <xm:f>Sheet1!$Q$12:$Q$15</xm:f>
          </x14:formula1>
          <xm:sqref>K1 K368:K1048576</xm:sqref>
        </x14:dataValidation>
        <x14:dataValidation type="list" allowBlank="1" showInputMessage="1" showErrorMessage="1" xr:uid="{992255FF-AB0D-4A87-823F-F1F039748F5B}">
          <x14:formula1>
            <xm:f>Sheet1!$P$5:$Q$8+Sheet1!$U$12:$U$13</xm:f>
          </x14:formula1>
          <xm:sqref>D2:D214 D216 D218:D223 D225:D232 D236 D238:D243 D245:D265 D267:D269 D271:D1048576</xm:sqref>
        </x14:dataValidation>
        <x14:dataValidation type="list" allowBlank="1" showInputMessage="1" showErrorMessage="1" xr:uid="{43A21664-2FB7-4D33-A071-9F1AC7AAB267}">
          <x14:formula1>
            <xm:f>Sheet1!$J$13:$J$28</xm:f>
          </x14:formula1>
          <xm:sqref>H2:H1048576</xm:sqref>
        </x14:dataValidation>
        <x14:dataValidation type="list" allowBlank="1" showInputMessage="1" showErrorMessage="1" xr:uid="{820A187C-8093-45DD-BFA7-BC20F69AFDA2}">
          <x14:formula1>
            <xm:f>Sheet1!$L$12:$L$23</xm:f>
          </x14:formula1>
          <xm:sqref>E1:E1048576</xm:sqref>
        </x14:dataValidation>
        <x14:dataValidation type="list" allowBlank="1" showInputMessage="1" showErrorMessage="1" xr:uid="{E3760730-7186-4EE7-B7AF-9F3DA5A84189}">
          <x14:formula1>
            <xm:f>Sheet1!$Q$12:$Q$16</xm:f>
          </x14:formula1>
          <xm:sqref>K2:K367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52A37-04EF-41A5-9E22-857D88D11D3C}">
  <dimension ref="A1:J33"/>
  <sheetViews>
    <sheetView workbookViewId="0">
      <selection activeCell="D16" sqref="D16"/>
    </sheetView>
  </sheetViews>
  <sheetFormatPr defaultRowHeight="14.4" x14ac:dyDescent="0.3"/>
  <cols>
    <col min="1" max="1" width="14.77734375" bestFit="1" customWidth="1"/>
    <col min="2" max="2" width="18.33203125" bestFit="1" customWidth="1"/>
    <col min="3" max="3" width="6.44140625" bestFit="1" customWidth="1"/>
    <col min="4" max="4" width="16.5546875" bestFit="1" customWidth="1"/>
    <col min="5" max="5" width="3.33203125" bestFit="1" customWidth="1"/>
    <col min="6" max="6" width="23.109375" customWidth="1"/>
    <col min="7" max="7" width="16.109375" customWidth="1"/>
    <col min="8" max="8" width="15.109375" customWidth="1"/>
    <col min="9" max="9" width="23.88671875" customWidth="1"/>
    <col min="10" max="10" width="24.77734375" customWidth="1"/>
  </cols>
  <sheetData>
    <row r="1" spans="1:10" x14ac:dyDescent="0.3">
      <c r="A1" s="77" t="s">
        <v>99</v>
      </c>
      <c r="B1" s="50" t="s">
        <v>314</v>
      </c>
      <c r="F1" s="79" t="s">
        <v>307</v>
      </c>
      <c r="G1" s="79" t="s">
        <v>139</v>
      </c>
      <c r="H1" s="79" t="s">
        <v>140</v>
      </c>
      <c r="I1" s="79" t="s">
        <v>330</v>
      </c>
      <c r="J1" s="79" t="s">
        <v>306</v>
      </c>
    </row>
    <row r="2" spans="1:10" x14ac:dyDescent="0.3">
      <c r="F2" s="80" t="s">
        <v>313</v>
      </c>
      <c r="G2" s="81"/>
      <c r="H2" s="81"/>
      <c r="I2" s="81"/>
      <c r="J2" s="81"/>
    </row>
    <row r="3" spans="1:10" x14ac:dyDescent="0.3">
      <c r="A3" s="77" t="s">
        <v>307</v>
      </c>
      <c r="B3" s="50" t="s">
        <v>308</v>
      </c>
      <c r="F3" s="82" t="s">
        <v>347</v>
      </c>
      <c r="G3" s="81"/>
      <c r="H3" s="81"/>
      <c r="I3" s="81"/>
      <c r="J3" s="81"/>
    </row>
    <row r="4" spans="1:10" x14ac:dyDescent="0.3">
      <c r="A4" s="50" t="s">
        <v>311</v>
      </c>
      <c r="B4" s="50">
        <v>2</v>
      </c>
      <c r="F4" s="85" t="s">
        <v>318</v>
      </c>
      <c r="G4" s="86"/>
      <c r="H4" s="86"/>
      <c r="I4" s="86"/>
      <c r="J4" s="86"/>
    </row>
    <row r="5" spans="1:10" x14ac:dyDescent="0.3">
      <c r="A5" s="78" t="s">
        <v>315</v>
      </c>
      <c r="B5" s="50">
        <v>1</v>
      </c>
      <c r="F5" s="83">
        <v>45676</v>
      </c>
      <c r="G5" s="48"/>
      <c r="H5" s="48">
        <v>1</v>
      </c>
      <c r="I5" s="48"/>
      <c r="J5" s="48">
        <v>1</v>
      </c>
    </row>
    <row r="6" spans="1:10" x14ac:dyDescent="0.3">
      <c r="A6" s="78" t="s">
        <v>316</v>
      </c>
      <c r="B6" s="50">
        <v>1</v>
      </c>
      <c r="F6" s="83">
        <v>45677</v>
      </c>
      <c r="G6" s="48"/>
      <c r="H6" s="48">
        <v>1</v>
      </c>
      <c r="I6" s="48"/>
      <c r="J6" s="48">
        <v>1</v>
      </c>
    </row>
    <row r="7" spans="1:10" x14ac:dyDescent="0.3">
      <c r="A7" s="50" t="s">
        <v>312</v>
      </c>
      <c r="B7" s="50">
        <v>125</v>
      </c>
      <c r="F7" s="85" t="s">
        <v>319</v>
      </c>
      <c r="G7" s="86"/>
      <c r="H7" s="86"/>
      <c r="I7" s="86"/>
      <c r="J7" s="86"/>
    </row>
    <row r="8" spans="1:10" x14ac:dyDescent="0.3">
      <c r="A8" s="78" t="s">
        <v>318</v>
      </c>
      <c r="B8" s="50">
        <v>4</v>
      </c>
      <c r="F8" s="83">
        <v>45690</v>
      </c>
      <c r="G8" s="48"/>
      <c r="H8" s="48">
        <v>4</v>
      </c>
      <c r="I8" s="48">
        <v>1</v>
      </c>
      <c r="J8" s="48">
        <v>5</v>
      </c>
    </row>
    <row r="9" spans="1:10" x14ac:dyDescent="0.3">
      <c r="A9" s="78" t="s">
        <v>319</v>
      </c>
      <c r="B9" s="50">
        <v>1</v>
      </c>
      <c r="F9" s="83">
        <v>45691</v>
      </c>
      <c r="G9" s="48"/>
      <c r="H9" s="48">
        <v>1</v>
      </c>
      <c r="I9" s="48"/>
      <c r="J9" s="48">
        <v>1</v>
      </c>
    </row>
    <row r="10" spans="1:10" x14ac:dyDescent="0.3">
      <c r="A10" s="78" t="s">
        <v>320</v>
      </c>
      <c r="B10" s="50">
        <v>15</v>
      </c>
      <c r="F10" s="83">
        <v>45697</v>
      </c>
      <c r="G10" s="48"/>
      <c r="H10" s="48">
        <v>16</v>
      </c>
      <c r="I10" s="48"/>
      <c r="J10" s="48">
        <v>16</v>
      </c>
    </row>
    <row r="11" spans="1:10" x14ac:dyDescent="0.3">
      <c r="A11" s="78" t="s">
        <v>321</v>
      </c>
      <c r="B11" s="50">
        <v>17</v>
      </c>
      <c r="F11" s="83">
        <v>45698</v>
      </c>
      <c r="G11" s="48"/>
      <c r="H11" s="48">
        <v>1</v>
      </c>
      <c r="I11" s="48"/>
      <c r="J11" s="48">
        <v>1</v>
      </c>
    </row>
    <row r="12" spans="1:10" x14ac:dyDescent="0.3">
      <c r="A12" s="78" t="s">
        <v>322</v>
      </c>
      <c r="B12" s="50">
        <v>28</v>
      </c>
      <c r="F12" s="83">
        <v>45704</v>
      </c>
      <c r="G12" s="48"/>
      <c r="H12" s="48">
        <v>10</v>
      </c>
      <c r="I12" s="48">
        <v>3</v>
      </c>
      <c r="J12" s="48">
        <v>13</v>
      </c>
    </row>
    <row r="13" spans="1:10" x14ac:dyDescent="0.3">
      <c r="A13" s="78" t="s">
        <v>323</v>
      </c>
      <c r="B13" s="50">
        <v>3</v>
      </c>
      <c r="F13" s="83">
        <v>45706</v>
      </c>
      <c r="G13" s="48"/>
      <c r="H13" s="48">
        <v>5</v>
      </c>
      <c r="I13" s="48">
        <v>1</v>
      </c>
      <c r="J13" s="48">
        <v>6</v>
      </c>
    </row>
    <row r="14" spans="1:10" x14ac:dyDescent="0.3">
      <c r="A14" s="78" t="s">
        <v>324</v>
      </c>
      <c r="B14" s="50">
        <v>12</v>
      </c>
      <c r="F14" s="83">
        <v>45707</v>
      </c>
      <c r="G14" s="48"/>
      <c r="H14" s="48"/>
      <c r="I14" s="48">
        <v>1</v>
      </c>
      <c r="J14" s="48">
        <v>1</v>
      </c>
    </row>
    <row r="15" spans="1:10" x14ac:dyDescent="0.3">
      <c r="A15" s="78" t="s">
        <v>325</v>
      </c>
      <c r="B15" s="50">
        <v>12</v>
      </c>
      <c r="F15" s="83">
        <v>45711</v>
      </c>
      <c r="G15" s="48"/>
      <c r="H15" s="48"/>
      <c r="I15" s="48">
        <v>1</v>
      </c>
      <c r="J15" s="48">
        <v>1</v>
      </c>
    </row>
    <row r="16" spans="1:10" x14ac:dyDescent="0.3">
      <c r="A16" s="78" t="s">
        <v>326</v>
      </c>
      <c r="B16" s="50">
        <v>8</v>
      </c>
      <c r="F16" s="83">
        <v>45712</v>
      </c>
      <c r="G16" s="48"/>
      <c r="H16" s="48">
        <v>1</v>
      </c>
      <c r="I16" s="48"/>
      <c r="J16" s="48">
        <v>1</v>
      </c>
    </row>
    <row r="17" spans="1:10" x14ac:dyDescent="0.3">
      <c r="A17" s="78" t="s">
        <v>317</v>
      </c>
      <c r="B17" s="50">
        <v>14</v>
      </c>
      <c r="F17" s="83">
        <v>45713</v>
      </c>
      <c r="G17" s="48"/>
      <c r="H17" s="48">
        <v>1</v>
      </c>
      <c r="I17" s="48"/>
      <c r="J17" s="48">
        <v>1</v>
      </c>
    </row>
    <row r="18" spans="1:10" x14ac:dyDescent="0.3">
      <c r="A18" s="78" t="s">
        <v>315</v>
      </c>
      <c r="B18" s="50">
        <v>10</v>
      </c>
      <c r="F18" s="85" t="s">
        <v>320</v>
      </c>
      <c r="G18" s="86"/>
      <c r="H18" s="86"/>
      <c r="I18" s="86"/>
      <c r="J18" s="86"/>
    </row>
    <row r="19" spans="1:10" x14ac:dyDescent="0.3">
      <c r="A19" s="78" t="s">
        <v>316</v>
      </c>
      <c r="B19" s="50">
        <v>1</v>
      </c>
      <c r="F19" s="83">
        <v>45717</v>
      </c>
      <c r="G19" s="48"/>
      <c r="H19" s="48"/>
      <c r="I19" s="48">
        <v>1</v>
      </c>
      <c r="J19" s="48">
        <v>1</v>
      </c>
    </row>
    <row r="20" spans="1:10" x14ac:dyDescent="0.3">
      <c r="A20" s="50" t="s">
        <v>313</v>
      </c>
      <c r="B20" s="50">
        <v>117</v>
      </c>
      <c r="F20" s="83">
        <v>45718</v>
      </c>
      <c r="G20" s="48"/>
      <c r="H20" s="48">
        <v>3</v>
      </c>
      <c r="I20" s="48">
        <v>1</v>
      </c>
      <c r="J20" s="48">
        <v>4</v>
      </c>
    </row>
    <row r="21" spans="1:10" x14ac:dyDescent="0.3">
      <c r="A21" s="78" t="s">
        <v>318</v>
      </c>
      <c r="B21" s="50">
        <v>2</v>
      </c>
      <c r="F21" s="83">
        <v>45719</v>
      </c>
      <c r="G21" s="48"/>
      <c r="H21" s="48">
        <v>1</v>
      </c>
      <c r="I21" s="48"/>
      <c r="J21" s="48">
        <v>1</v>
      </c>
    </row>
    <row r="22" spans="1:10" x14ac:dyDescent="0.3">
      <c r="A22" s="78" t="s">
        <v>319</v>
      </c>
      <c r="B22" s="50">
        <v>46</v>
      </c>
      <c r="F22" s="83">
        <v>45720</v>
      </c>
      <c r="G22" s="48">
        <v>2</v>
      </c>
      <c r="H22" s="48">
        <v>1</v>
      </c>
      <c r="I22" s="48"/>
      <c r="J22" s="48">
        <v>3</v>
      </c>
    </row>
    <row r="23" spans="1:10" x14ac:dyDescent="0.3">
      <c r="A23" s="78" t="s">
        <v>320</v>
      </c>
      <c r="B23" s="50">
        <v>69</v>
      </c>
      <c r="F23" s="83">
        <v>45721</v>
      </c>
      <c r="G23" s="48">
        <v>2</v>
      </c>
      <c r="H23" s="48"/>
      <c r="I23" s="48"/>
      <c r="J23" s="48">
        <v>2</v>
      </c>
    </row>
    <row r="24" spans="1:10" ht="15" thickBot="1" x14ac:dyDescent="0.35">
      <c r="A24" s="50" t="s">
        <v>306</v>
      </c>
      <c r="B24" s="50">
        <v>244</v>
      </c>
      <c r="F24" s="83">
        <v>45722</v>
      </c>
      <c r="G24" s="48">
        <v>1</v>
      </c>
      <c r="H24" s="48"/>
      <c r="I24" s="48"/>
      <c r="J24" s="48">
        <v>1</v>
      </c>
    </row>
    <row r="25" spans="1:10" ht="15" thickBot="1" x14ac:dyDescent="0.35">
      <c r="A25" s="74" t="s">
        <v>310</v>
      </c>
      <c r="B25" s="75">
        <v>16</v>
      </c>
      <c r="F25" s="83">
        <v>45725</v>
      </c>
      <c r="G25" s="48">
        <v>25</v>
      </c>
      <c r="H25" s="48"/>
      <c r="I25" s="48"/>
      <c r="J25" s="48">
        <v>25</v>
      </c>
    </row>
    <row r="26" spans="1:10" x14ac:dyDescent="0.3">
      <c r="F26" s="83">
        <v>45726</v>
      </c>
      <c r="G26" s="48">
        <v>2</v>
      </c>
      <c r="H26" s="48"/>
      <c r="I26" s="48"/>
      <c r="J26" s="48">
        <v>2</v>
      </c>
    </row>
    <row r="27" spans="1:10" x14ac:dyDescent="0.3">
      <c r="F27" s="83">
        <v>45727</v>
      </c>
      <c r="G27" s="48">
        <v>1</v>
      </c>
      <c r="H27" s="48"/>
      <c r="I27" s="48"/>
      <c r="J27" s="48">
        <v>1</v>
      </c>
    </row>
    <row r="28" spans="1:10" x14ac:dyDescent="0.3">
      <c r="F28" s="83">
        <v>45728</v>
      </c>
      <c r="G28" s="48">
        <v>1</v>
      </c>
      <c r="H28" s="48"/>
      <c r="I28" s="48"/>
      <c r="J28" s="48">
        <v>1</v>
      </c>
    </row>
    <row r="29" spans="1:10" x14ac:dyDescent="0.3">
      <c r="F29" s="83">
        <v>45729</v>
      </c>
      <c r="G29" s="48">
        <v>1</v>
      </c>
      <c r="H29" s="48"/>
      <c r="I29" s="48"/>
      <c r="J29" s="48">
        <v>1</v>
      </c>
    </row>
    <row r="30" spans="1:10" x14ac:dyDescent="0.3">
      <c r="F30" s="83">
        <v>45730</v>
      </c>
      <c r="G30" s="48">
        <v>1</v>
      </c>
      <c r="H30" s="48"/>
      <c r="I30" s="48"/>
      <c r="J30" s="48">
        <v>1</v>
      </c>
    </row>
    <row r="31" spans="1:10" x14ac:dyDescent="0.3">
      <c r="F31" s="83">
        <v>45732</v>
      </c>
      <c r="G31" s="48">
        <v>26</v>
      </c>
      <c r="H31" s="48"/>
      <c r="I31" s="48"/>
      <c r="J31" s="48">
        <v>26</v>
      </c>
    </row>
    <row r="32" spans="1:10" x14ac:dyDescent="0.3">
      <c r="F32" s="83">
        <v>45739</v>
      </c>
      <c r="G32" s="48">
        <v>1</v>
      </c>
      <c r="H32" s="48"/>
      <c r="I32" s="48">
        <v>1</v>
      </c>
      <c r="J32" s="48">
        <v>2</v>
      </c>
    </row>
    <row r="33" spans="6:10" x14ac:dyDescent="0.3">
      <c r="F33" s="84" t="s">
        <v>306</v>
      </c>
      <c r="G33" s="79">
        <v>63</v>
      </c>
      <c r="H33" s="79">
        <v>46</v>
      </c>
      <c r="I33" s="79">
        <v>10</v>
      </c>
      <c r="J33" s="79">
        <v>119</v>
      </c>
    </row>
  </sheetData>
  <pageMargins left="0.7" right="0.7" top="0.75" bottom="0.75" header="0.3" footer="0.3"/>
  <pageSetup orientation="portrait" r:id="rId2"/>
  <headerFooter differentFirst="1">
    <oddHeader xml:space="preserve">&amp;C&amp;12Classified by RER as: &amp;K558B2FPublic -  عام&amp;8&amp;K000000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34FF-9A7B-436A-8712-44A8EA1A03E8}">
  <sheetPr codeName="Sheet2"/>
  <dimension ref="A1:A24"/>
  <sheetViews>
    <sheetView workbookViewId="0">
      <selection sqref="A1:A24"/>
    </sheetView>
  </sheetViews>
  <sheetFormatPr defaultRowHeight="14.4" x14ac:dyDescent="0.3"/>
  <cols>
    <col min="1" max="1" width="28.5546875" bestFit="1" customWidth="1"/>
  </cols>
  <sheetData>
    <row r="1" spans="1:1" x14ac:dyDescent="0.3">
      <c r="A1" s="34" t="s">
        <v>41</v>
      </c>
    </row>
    <row r="2" spans="1:1" x14ac:dyDescent="0.3">
      <c r="A2" s="34" t="s">
        <v>31</v>
      </c>
    </row>
    <row r="3" spans="1:1" x14ac:dyDescent="0.3">
      <c r="A3" s="34" t="s">
        <v>29</v>
      </c>
    </row>
    <row r="4" spans="1:1" x14ac:dyDescent="0.3">
      <c r="A4" s="34" t="s">
        <v>28</v>
      </c>
    </row>
    <row r="5" spans="1:1" x14ac:dyDescent="0.3">
      <c r="A5" s="34" t="s">
        <v>39</v>
      </c>
    </row>
    <row r="6" spans="1:1" x14ac:dyDescent="0.3">
      <c r="A6" s="34" t="s">
        <v>30</v>
      </c>
    </row>
    <row r="7" spans="1:1" x14ac:dyDescent="0.3">
      <c r="A7" s="34" t="s">
        <v>24</v>
      </c>
    </row>
    <row r="8" spans="1:1" x14ac:dyDescent="0.3">
      <c r="A8" s="34" t="s">
        <v>26</v>
      </c>
    </row>
    <row r="9" spans="1:1" x14ac:dyDescent="0.3">
      <c r="A9" s="34" t="s">
        <v>25</v>
      </c>
    </row>
    <row r="10" spans="1:1" x14ac:dyDescent="0.3">
      <c r="A10" s="34" t="s">
        <v>22</v>
      </c>
    </row>
    <row r="11" spans="1:1" x14ac:dyDescent="0.3">
      <c r="A11" s="34" t="s">
        <v>20</v>
      </c>
    </row>
    <row r="12" spans="1:1" x14ac:dyDescent="0.3">
      <c r="A12" s="34" t="s">
        <v>21</v>
      </c>
    </row>
    <row r="13" spans="1:1" x14ac:dyDescent="0.3">
      <c r="A13" s="34" t="s">
        <v>27</v>
      </c>
    </row>
    <row r="14" spans="1:1" x14ac:dyDescent="0.3">
      <c r="A14" s="34" t="s">
        <v>23</v>
      </c>
    </row>
    <row r="15" spans="1:1" x14ac:dyDescent="0.3">
      <c r="A15" s="34" t="s">
        <v>68</v>
      </c>
    </row>
    <row r="16" spans="1:1" x14ac:dyDescent="0.3">
      <c r="A16" s="34" t="s">
        <v>69</v>
      </c>
    </row>
    <row r="17" spans="1:1" x14ac:dyDescent="0.3">
      <c r="A17" s="34" t="s">
        <v>70</v>
      </c>
    </row>
    <row r="18" spans="1:1" x14ac:dyDescent="0.3">
      <c r="A18" s="34" t="s">
        <v>79</v>
      </c>
    </row>
    <row r="19" spans="1:1" x14ac:dyDescent="0.3">
      <c r="A19" s="34" t="s">
        <v>77</v>
      </c>
    </row>
    <row r="20" spans="1:1" x14ac:dyDescent="0.3">
      <c r="A20" s="34" t="s">
        <v>71</v>
      </c>
    </row>
    <row r="21" spans="1:1" x14ac:dyDescent="0.3">
      <c r="A21" s="34" t="s">
        <v>78</v>
      </c>
    </row>
    <row r="22" spans="1:1" x14ac:dyDescent="0.3">
      <c r="A22" s="34" t="s">
        <v>85</v>
      </c>
    </row>
    <row r="23" spans="1:1" x14ac:dyDescent="0.3">
      <c r="A23" s="34" t="s">
        <v>86</v>
      </c>
    </row>
    <row r="24" spans="1:1" x14ac:dyDescent="0.3">
      <c r="A24" s="34" t="s">
        <v>87</v>
      </c>
    </row>
  </sheetData>
  <conditionalFormatting sqref="A1:A14">
    <cfRule type="duplicateValues" dxfId="156" priority="3"/>
  </conditionalFormatting>
  <conditionalFormatting sqref="A14">
    <cfRule type="duplicateValues" dxfId="155" priority="2"/>
  </conditionalFormatting>
  <conditionalFormatting sqref="A15:A21">
    <cfRule type="duplicateValues" dxfId="154" priority="1"/>
  </conditionalFormatting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6059-F119-4D96-B54D-E3DB8E45A1C8}">
  <sheetPr codeName="Sheet3"/>
  <dimension ref="A1:K38"/>
  <sheetViews>
    <sheetView zoomScale="80" zoomScaleNormal="80" workbookViewId="0">
      <selection activeCell="B21" sqref="B21"/>
    </sheetView>
  </sheetViews>
  <sheetFormatPr defaultColWidth="9.109375" defaultRowHeight="14.4" x14ac:dyDescent="0.3"/>
  <cols>
    <col min="1" max="1" width="4.44140625" style="13" bestFit="1" customWidth="1"/>
    <col min="2" max="2" width="21.44140625" style="14" bestFit="1" customWidth="1"/>
    <col min="3" max="3" width="21.77734375" style="14" bestFit="1" customWidth="1"/>
    <col min="4" max="4" width="10.44140625" style="13" bestFit="1" customWidth="1"/>
    <col min="5" max="5" width="9.109375" style="13"/>
    <col min="6" max="9" width="15.77734375" style="14" customWidth="1"/>
    <col min="10" max="11" width="15.77734375" style="13" customWidth="1"/>
    <col min="12" max="12" width="22.21875" style="13" bestFit="1" customWidth="1"/>
    <col min="13" max="13" width="24.109375" style="13" bestFit="1" customWidth="1"/>
    <col min="14" max="14" width="24.77734375" style="13" bestFit="1" customWidth="1"/>
    <col min="15" max="16384" width="9.109375" style="13"/>
  </cols>
  <sheetData>
    <row r="1" spans="1:9" x14ac:dyDescent="0.3">
      <c r="A1" s="9" t="s">
        <v>64</v>
      </c>
      <c r="B1" s="10" t="s">
        <v>18</v>
      </c>
      <c r="C1" s="11" t="s">
        <v>19</v>
      </c>
      <c r="D1" s="12" t="s">
        <v>46</v>
      </c>
    </row>
    <row r="2" spans="1:9" x14ac:dyDescent="0.3">
      <c r="A2" s="5">
        <v>1</v>
      </c>
      <c r="B2" s="32" t="s">
        <v>0</v>
      </c>
      <c r="C2" s="22" t="s">
        <v>63</v>
      </c>
      <c r="D2" s="22" t="s">
        <v>63</v>
      </c>
    </row>
    <row r="3" spans="1:9" x14ac:dyDescent="0.3">
      <c r="A3" s="5">
        <v>2</v>
      </c>
      <c r="B3" s="33" t="s">
        <v>1</v>
      </c>
      <c r="C3" s="15" t="s">
        <v>33</v>
      </c>
      <c r="D3" s="15" t="s">
        <v>49</v>
      </c>
      <c r="F3" s="157" t="s">
        <v>54</v>
      </c>
      <c r="G3" s="158"/>
      <c r="H3" s="158"/>
      <c r="I3" s="159"/>
    </row>
    <row r="4" spans="1:9" x14ac:dyDescent="0.3">
      <c r="A4" s="5">
        <v>3</v>
      </c>
      <c r="B4" s="33" t="s">
        <v>3</v>
      </c>
      <c r="C4" s="15" t="s">
        <v>33</v>
      </c>
      <c r="D4" s="22" t="s">
        <v>47</v>
      </c>
      <c r="F4" s="9" t="s">
        <v>19</v>
      </c>
      <c r="G4" s="9" t="s">
        <v>57</v>
      </c>
      <c r="H4" s="9" t="s">
        <v>58</v>
      </c>
      <c r="I4" s="9" t="s">
        <v>59</v>
      </c>
    </row>
    <row r="5" spans="1:9" x14ac:dyDescent="0.3">
      <c r="A5" s="5">
        <v>4</v>
      </c>
      <c r="B5" s="33" t="s">
        <v>2</v>
      </c>
      <c r="C5" s="15" t="s">
        <v>33</v>
      </c>
      <c r="D5" s="22" t="s">
        <v>50</v>
      </c>
      <c r="F5" s="15" t="s">
        <v>53</v>
      </c>
      <c r="G5" s="16">
        <v>10</v>
      </c>
      <c r="H5" s="16">
        <f>G5*5</f>
        <v>50</v>
      </c>
      <c r="I5" s="16">
        <f>H5*4</f>
        <v>200</v>
      </c>
    </row>
    <row r="6" spans="1:9" x14ac:dyDescent="0.3">
      <c r="A6" s="5">
        <v>5</v>
      </c>
      <c r="B6" s="32" t="s">
        <v>44</v>
      </c>
      <c r="C6" s="22" t="s">
        <v>52</v>
      </c>
      <c r="D6" s="22" t="s">
        <v>50</v>
      </c>
      <c r="F6" s="17" t="s">
        <v>32</v>
      </c>
      <c r="G6" s="18">
        <v>20</v>
      </c>
      <c r="H6" s="18">
        <f>20*5</f>
        <v>100</v>
      </c>
      <c r="I6" s="18">
        <f>H6*4</f>
        <v>400</v>
      </c>
    </row>
    <row r="7" spans="1:9" x14ac:dyDescent="0.3">
      <c r="A7" s="5">
        <v>6</v>
      </c>
      <c r="B7" s="33" t="s">
        <v>12</v>
      </c>
      <c r="C7" s="15" t="s">
        <v>51</v>
      </c>
      <c r="D7" s="15" t="s">
        <v>48</v>
      </c>
    </row>
    <row r="8" spans="1:9" x14ac:dyDescent="0.3">
      <c r="A8" s="5">
        <v>7</v>
      </c>
      <c r="B8" s="33" t="s">
        <v>8</v>
      </c>
      <c r="C8" s="15" t="s">
        <v>51</v>
      </c>
      <c r="D8" s="15" t="s">
        <v>48</v>
      </c>
    </row>
    <row r="9" spans="1:9" x14ac:dyDescent="0.3">
      <c r="A9" s="5">
        <v>8</v>
      </c>
      <c r="B9" s="33" t="s">
        <v>15</v>
      </c>
      <c r="C9" s="15" t="s">
        <v>51</v>
      </c>
      <c r="D9" s="15" t="s">
        <v>48</v>
      </c>
      <c r="F9" s="160" t="s">
        <v>55</v>
      </c>
      <c r="G9" s="160"/>
      <c r="H9" s="160"/>
      <c r="I9" s="160"/>
    </row>
    <row r="10" spans="1:9" x14ac:dyDescent="0.3">
      <c r="A10" s="5">
        <v>9</v>
      </c>
      <c r="B10" s="33" t="s">
        <v>7</v>
      </c>
      <c r="C10" s="15" t="s">
        <v>51</v>
      </c>
      <c r="D10" s="15" t="s">
        <v>56</v>
      </c>
      <c r="F10" s="9" t="s">
        <v>19</v>
      </c>
      <c r="G10" s="9" t="s">
        <v>57</v>
      </c>
      <c r="H10" s="9" t="s">
        <v>58</v>
      </c>
      <c r="I10" s="9" t="s">
        <v>59</v>
      </c>
    </row>
    <row r="11" spans="1:9" x14ac:dyDescent="0.3">
      <c r="A11" s="5">
        <v>10</v>
      </c>
      <c r="B11" s="33" t="s">
        <v>5</v>
      </c>
      <c r="C11" s="15" t="s">
        <v>51</v>
      </c>
      <c r="D11" s="22" t="s">
        <v>47</v>
      </c>
      <c r="F11" s="15" t="s">
        <v>53</v>
      </c>
      <c r="G11" s="16">
        <v>25</v>
      </c>
      <c r="H11" s="16">
        <f>G11*5</f>
        <v>125</v>
      </c>
      <c r="I11" s="16">
        <f>H11*4</f>
        <v>500</v>
      </c>
    </row>
    <row r="12" spans="1:9" x14ac:dyDescent="0.3">
      <c r="A12" s="5">
        <v>11</v>
      </c>
      <c r="B12" s="33" t="s">
        <v>6</v>
      </c>
      <c r="C12" s="15" t="s">
        <v>40</v>
      </c>
      <c r="D12" s="22" t="s">
        <v>47</v>
      </c>
      <c r="F12" s="17" t="s">
        <v>32</v>
      </c>
      <c r="G12" s="18">
        <v>50</v>
      </c>
      <c r="H12" s="18">
        <f>G12*5</f>
        <v>250</v>
      </c>
      <c r="I12" s="18">
        <f>H12*4</f>
        <v>1000</v>
      </c>
    </row>
    <row r="13" spans="1:9" x14ac:dyDescent="0.3">
      <c r="A13" s="5">
        <v>12</v>
      </c>
      <c r="B13" s="33" t="s">
        <v>16</v>
      </c>
      <c r="C13" s="15" t="s">
        <v>40</v>
      </c>
      <c r="D13" s="22" t="s">
        <v>47</v>
      </c>
    </row>
    <row r="14" spans="1:9" x14ac:dyDescent="0.3">
      <c r="A14" s="5">
        <v>13</v>
      </c>
      <c r="B14" s="33" t="s">
        <v>13</v>
      </c>
      <c r="C14" s="15" t="s">
        <v>40</v>
      </c>
      <c r="D14" s="22" t="s">
        <v>47</v>
      </c>
    </row>
    <row r="15" spans="1:9" x14ac:dyDescent="0.3">
      <c r="A15" s="5">
        <v>14</v>
      </c>
      <c r="B15" s="33" t="s">
        <v>17</v>
      </c>
      <c r="C15" s="15" t="s">
        <v>40</v>
      </c>
      <c r="D15" s="22" t="s">
        <v>47</v>
      </c>
      <c r="F15" s="160" t="s">
        <v>67</v>
      </c>
      <c r="G15" s="160"/>
      <c r="H15" s="160"/>
      <c r="I15" s="160"/>
    </row>
    <row r="16" spans="1:9" x14ac:dyDescent="0.3">
      <c r="A16" s="5">
        <v>15</v>
      </c>
      <c r="B16" s="33" t="s">
        <v>4</v>
      </c>
      <c r="C16" s="15" t="s">
        <v>40</v>
      </c>
      <c r="D16" s="15" t="s">
        <v>48</v>
      </c>
      <c r="F16" s="9" t="s">
        <v>19</v>
      </c>
      <c r="G16" s="9" t="s">
        <v>57</v>
      </c>
      <c r="H16" s="9" t="s">
        <v>58</v>
      </c>
      <c r="I16" s="9" t="s">
        <v>59</v>
      </c>
    </row>
    <row r="17" spans="1:11" x14ac:dyDescent="0.3">
      <c r="A17" s="5">
        <v>16</v>
      </c>
      <c r="B17" s="33" t="s">
        <v>31</v>
      </c>
      <c r="C17" s="15" t="s">
        <v>40</v>
      </c>
      <c r="D17" s="15" t="s">
        <v>48</v>
      </c>
      <c r="F17" s="15" t="s">
        <v>53</v>
      </c>
      <c r="G17" s="16">
        <v>10</v>
      </c>
      <c r="H17" s="16">
        <f>G17*5</f>
        <v>50</v>
      </c>
      <c r="I17" s="16">
        <f>H17*4</f>
        <v>200</v>
      </c>
    </row>
    <row r="18" spans="1:11" x14ac:dyDescent="0.3">
      <c r="A18" s="5">
        <v>17</v>
      </c>
      <c r="B18" s="33" t="s">
        <v>29</v>
      </c>
      <c r="C18" s="15" t="s">
        <v>40</v>
      </c>
      <c r="D18" s="15" t="s">
        <v>48</v>
      </c>
      <c r="F18" s="17" t="s">
        <v>32</v>
      </c>
      <c r="G18" s="18">
        <v>20</v>
      </c>
      <c r="H18" s="18">
        <f>G18*5</f>
        <v>100</v>
      </c>
      <c r="I18" s="18">
        <f>H18*4</f>
        <v>400</v>
      </c>
    </row>
    <row r="19" spans="1:11" x14ac:dyDescent="0.3">
      <c r="A19" s="5">
        <v>18</v>
      </c>
      <c r="B19" s="33" t="s">
        <v>14</v>
      </c>
      <c r="C19" s="15" t="s">
        <v>40</v>
      </c>
      <c r="D19" s="15" t="s">
        <v>48</v>
      </c>
    </row>
    <row r="20" spans="1:11" x14ac:dyDescent="0.3">
      <c r="A20" s="5">
        <v>19</v>
      </c>
      <c r="B20" s="33" t="s">
        <v>28</v>
      </c>
      <c r="C20" s="15" t="s">
        <v>40</v>
      </c>
      <c r="D20" s="15" t="s">
        <v>48</v>
      </c>
    </row>
    <row r="21" spans="1:11" x14ac:dyDescent="0.3">
      <c r="A21" s="5">
        <v>20</v>
      </c>
      <c r="B21" s="33" t="s">
        <v>39</v>
      </c>
      <c r="C21" s="15" t="s">
        <v>40</v>
      </c>
      <c r="D21" s="15" t="s">
        <v>48</v>
      </c>
      <c r="F21" s="157" t="s">
        <v>60</v>
      </c>
      <c r="G21" s="158"/>
      <c r="H21" s="158"/>
      <c r="I21" s="158"/>
      <c r="J21" s="158"/>
      <c r="K21" s="159"/>
    </row>
    <row r="22" spans="1:11" x14ac:dyDescent="0.3">
      <c r="A22" s="5">
        <v>21</v>
      </c>
      <c r="B22" s="33" t="s">
        <v>30</v>
      </c>
      <c r="C22" s="15" t="s">
        <v>40</v>
      </c>
      <c r="D22" s="15" t="s">
        <v>48</v>
      </c>
      <c r="F22" s="157" t="s">
        <v>66</v>
      </c>
      <c r="G22" s="159"/>
      <c r="H22" s="157" t="s">
        <v>56</v>
      </c>
      <c r="I22" s="159"/>
      <c r="J22" s="157" t="s">
        <v>47</v>
      </c>
      <c r="K22" s="159"/>
    </row>
    <row r="23" spans="1:11" x14ac:dyDescent="0.3">
      <c r="A23" s="5">
        <v>22</v>
      </c>
      <c r="B23" s="33" t="s">
        <v>24</v>
      </c>
      <c r="C23" s="15" t="s">
        <v>40</v>
      </c>
      <c r="D23" s="15" t="s">
        <v>48</v>
      </c>
      <c r="F23" s="35" t="s">
        <v>19</v>
      </c>
      <c r="G23" s="35" t="s">
        <v>61</v>
      </c>
      <c r="H23" s="35" t="s">
        <v>19</v>
      </c>
      <c r="I23" s="35" t="s">
        <v>61</v>
      </c>
      <c r="J23" s="35" t="s">
        <v>19</v>
      </c>
      <c r="K23" s="35" t="s">
        <v>61</v>
      </c>
    </row>
    <row r="24" spans="1:11" x14ac:dyDescent="0.3">
      <c r="A24" s="5">
        <v>23</v>
      </c>
      <c r="B24" s="33" t="s">
        <v>26</v>
      </c>
      <c r="C24" s="15" t="s">
        <v>40</v>
      </c>
      <c r="D24" s="15" t="s">
        <v>48</v>
      </c>
      <c r="F24" s="15" t="s">
        <v>51</v>
      </c>
      <c r="G24" s="6">
        <f>I5*COUNTIFS(C:C,C7,D:D,D7)</f>
        <v>600</v>
      </c>
      <c r="H24" s="15" t="s">
        <v>53</v>
      </c>
      <c r="I24" s="16">
        <f>I11*COUNTIFS(C:C,C11,D:D,D10)</f>
        <v>500</v>
      </c>
      <c r="J24" s="15" t="s">
        <v>53</v>
      </c>
      <c r="K24" s="16">
        <f>I17*COUNTIFS(C:C,C11,D:D,D13)</f>
        <v>200</v>
      </c>
    </row>
    <row r="25" spans="1:11" x14ac:dyDescent="0.3">
      <c r="A25" s="5">
        <v>24</v>
      </c>
      <c r="B25" s="33" t="s">
        <v>25</v>
      </c>
      <c r="C25" s="15" t="s">
        <v>40</v>
      </c>
      <c r="D25" s="15" t="s">
        <v>48</v>
      </c>
      <c r="F25" s="17" t="s">
        <v>32</v>
      </c>
      <c r="G25" s="7">
        <f>I6*COUNTIFS(C:C,C12,D:D,D16)</f>
        <v>6400</v>
      </c>
      <c r="H25" s="17" t="s">
        <v>32</v>
      </c>
      <c r="I25" s="18">
        <f>I12*COUNTIFS(C:C,C13,D:D,D32)</f>
        <v>3000</v>
      </c>
      <c r="J25" s="17" t="s">
        <v>32</v>
      </c>
      <c r="K25" s="18">
        <f>I18*COUNTIFS(C:C,C13,D:D,D15)</f>
        <v>1600</v>
      </c>
    </row>
    <row r="26" spans="1:11" x14ac:dyDescent="0.3">
      <c r="A26" s="5">
        <v>25</v>
      </c>
      <c r="B26" s="33" t="s">
        <v>22</v>
      </c>
      <c r="C26" s="15" t="s">
        <v>40</v>
      </c>
      <c r="D26" s="15" t="s">
        <v>48</v>
      </c>
      <c r="F26" s="21" t="s">
        <v>35</v>
      </c>
      <c r="G26" s="8">
        <f>G24+G25</f>
        <v>7000</v>
      </c>
      <c r="H26" s="21" t="s">
        <v>35</v>
      </c>
      <c r="I26" s="19">
        <f>I24+I25</f>
        <v>3500</v>
      </c>
      <c r="J26" s="21" t="s">
        <v>35</v>
      </c>
      <c r="K26" s="19">
        <f>K24+K25</f>
        <v>1800</v>
      </c>
    </row>
    <row r="27" spans="1:11" x14ac:dyDescent="0.3">
      <c r="A27" s="5">
        <v>26</v>
      </c>
      <c r="B27" s="33" t="s">
        <v>20</v>
      </c>
      <c r="C27" s="15" t="s">
        <v>40</v>
      </c>
      <c r="D27" s="15" t="s">
        <v>48</v>
      </c>
      <c r="F27" s="161" t="s">
        <v>62</v>
      </c>
      <c r="G27" s="162"/>
      <c r="H27" s="163">
        <f>G26+I26+K26</f>
        <v>12300</v>
      </c>
      <c r="I27" s="164"/>
      <c r="J27" s="164"/>
      <c r="K27" s="165"/>
    </row>
    <row r="28" spans="1:11" x14ac:dyDescent="0.3">
      <c r="A28" s="5">
        <v>27</v>
      </c>
      <c r="B28" s="33" t="s">
        <v>21</v>
      </c>
      <c r="C28" s="15" t="s">
        <v>40</v>
      </c>
      <c r="D28" s="15" t="s">
        <v>48</v>
      </c>
    </row>
    <row r="29" spans="1:11" x14ac:dyDescent="0.3">
      <c r="A29" s="5">
        <v>28</v>
      </c>
      <c r="B29" s="33" t="s">
        <v>27</v>
      </c>
      <c r="C29" s="15" t="s">
        <v>40</v>
      </c>
      <c r="D29" s="15" t="s">
        <v>48</v>
      </c>
    </row>
    <row r="30" spans="1:11" x14ac:dyDescent="0.3">
      <c r="A30" s="5">
        <v>29</v>
      </c>
      <c r="B30" s="33" t="s">
        <v>11</v>
      </c>
      <c r="C30" s="15" t="s">
        <v>40</v>
      </c>
      <c r="D30" s="15" t="s">
        <v>48</v>
      </c>
    </row>
    <row r="31" spans="1:11" x14ac:dyDescent="0.3">
      <c r="A31" s="5">
        <v>30</v>
      </c>
      <c r="B31" s="34" t="s">
        <v>23</v>
      </c>
      <c r="C31" s="15" t="s">
        <v>40</v>
      </c>
      <c r="D31" s="15" t="s">
        <v>48</v>
      </c>
    </row>
    <row r="32" spans="1:11" x14ac:dyDescent="0.3">
      <c r="A32" s="5">
        <v>31</v>
      </c>
      <c r="B32" s="33" t="s">
        <v>10</v>
      </c>
      <c r="C32" s="15" t="s">
        <v>40</v>
      </c>
      <c r="D32" s="15" t="s">
        <v>56</v>
      </c>
    </row>
    <row r="33" spans="1:9" x14ac:dyDescent="0.3">
      <c r="A33" s="5">
        <v>32</v>
      </c>
      <c r="B33" s="33" t="s">
        <v>9</v>
      </c>
      <c r="C33" s="15" t="s">
        <v>40</v>
      </c>
      <c r="D33" s="15" t="s">
        <v>56</v>
      </c>
    </row>
    <row r="34" spans="1:9" x14ac:dyDescent="0.3">
      <c r="A34" s="5">
        <v>33</v>
      </c>
      <c r="B34" s="33" t="s">
        <v>41</v>
      </c>
      <c r="C34" s="15" t="s">
        <v>40</v>
      </c>
      <c r="D34" s="15" t="s">
        <v>56</v>
      </c>
    </row>
    <row r="35" spans="1:9" x14ac:dyDescent="0.3">
      <c r="A35" s="20"/>
      <c r="B35" s="4" t="s">
        <v>35</v>
      </c>
      <c r="C35" s="5">
        <f>SUBTOTAL(103,Table13[Role])</f>
        <v>33</v>
      </c>
      <c r="D35" s="5"/>
    </row>
    <row r="38" spans="1:9" x14ac:dyDescent="0.3">
      <c r="C38" s="13"/>
      <c r="E38" s="14"/>
      <c r="I38" s="13"/>
    </row>
  </sheetData>
  <dataConsolidate link="1"/>
  <mergeCells count="9">
    <mergeCell ref="F3:I3"/>
    <mergeCell ref="F9:I9"/>
    <mergeCell ref="F27:G27"/>
    <mergeCell ref="H27:K27"/>
    <mergeCell ref="F15:I15"/>
    <mergeCell ref="F21:K21"/>
    <mergeCell ref="F22:G22"/>
    <mergeCell ref="H22:I22"/>
    <mergeCell ref="J22:K22"/>
  </mergeCells>
  <conditionalFormatting sqref="B31">
    <cfRule type="duplicateValues" dxfId="153" priority="1"/>
  </conditionalFormatting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B94CDA2-3AAE-4301-A38B-2666AD86EFE3}">
          <x14:formula1>
            <xm:f>Sheet1!$H$12:$H$16</xm:f>
          </x14:formula1>
          <xm:sqref>C2:C9 C11:C34</xm:sqref>
        </x14:dataValidation>
        <x14:dataValidation type="list" allowBlank="1" showInputMessage="1" showErrorMessage="1" xr:uid="{05CB7586-0F3B-40FF-A4F4-EE6603C8E27F}">
          <x14:formula1>
            <xm:f>Sheet1!$H$12:$H$17</xm:f>
          </x14:formula1>
          <xm:sqref>C10</xm:sqref>
        </x14:dataValidation>
        <x14:dataValidation type="list" allowBlank="1" showInputMessage="1" showErrorMessage="1" xr:uid="{73D282D5-0969-4755-9DD0-E0C1FDA25A04}">
          <x14:formula1>
            <xm:f>Sheet1!$J$12:$J$17</xm:f>
          </x14:formula1>
          <xm:sqref>D2:D34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C7A6-0708-468D-90C1-883BF04BCB10}">
  <sheetPr codeName="Sheet4"/>
  <dimension ref="A1:S62"/>
  <sheetViews>
    <sheetView zoomScale="85" zoomScaleNormal="85" workbookViewId="0">
      <selection activeCell="B48" sqref="B48"/>
    </sheetView>
  </sheetViews>
  <sheetFormatPr defaultColWidth="8.77734375" defaultRowHeight="14.4" x14ac:dyDescent="0.3"/>
  <cols>
    <col min="2" max="2" width="30" style="1" customWidth="1"/>
    <col min="3" max="3" width="33.21875" style="1" hidden="1" customWidth="1"/>
    <col min="21" max="21" width="8.5546875" customWidth="1"/>
  </cols>
  <sheetData>
    <row r="1" spans="1:19" x14ac:dyDescent="0.3">
      <c r="A1" s="3" t="s">
        <v>43</v>
      </c>
      <c r="B1" s="2" t="s">
        <v>18</v>
      </c>
      <c r="C1" s="40" t="s">
        <v>19</v>
      </c>
    </row>
    <row r="2" spans="1:19" x14ac:dyDescent="0.3">
      <c r="A2" s="5">
        <v>1</v>
      </c>
      <c r="B2" s="39" t="s">
        <v>0</v>
      </c>
      <c r="C2" s="41" t="s">
        <v>34</v>
      </c>
    </row>
    <row r="3" spans="1:19" x14ac:dyDescent="0.3">
      <c r="A3" s="5">
        <v>2</v>
      </c>
      <c r="B3" s="39" t="s">
        <v>6</v>
      </c>
      <c r="C3" s="43" t="s">
        <v>42</v>
      </c>
    </row>
    <row r="4" spans="1:19" x14ac:dyDescent="0.3">
      <c r="A4" s="5">
        <v>3</v>
      </c>
      <c r="B4" s="39" t="s">
        <v>1</v>
      </c>
      <c r="C4" s="43" t="s">
        <v>33</v>
      </c>
    </row>
    <row r="5" spans="1:19" x14ac:dyDescent="0.3">
      <c r="A5" s="5">
        <v>4</v>
      </c>
      <c r="B5" s="39" t="s">
        <v>2</v>
      </c>
      <c r="C5" s="43" t="s">
        <v>33</v>
      </c>
    </row>
    <row r="6" spans="1:19" x14ac:dyDescent="0.3">
      <c r="A6" s="5">
        <v>5</v>
      </c>
      <c r="B6" s="39" t="s">
        <v>71</v>
      </c>
      <c r="C6" s="43" t="s">
        <v>38</v>
      </c>
    </row>
    <row r="7" spans="1:19" x14ac:dyDescent="0.3">
      <c r="A7" s="5">
        <v>6</v>
      </c>
      <c r="B7" s="39" t="s">
        <v>5</v>
      </c>
      <c r="C7" s="43" t="s">
        <v>42</v>
      </c>
    </row>
    <row r="8" spans="1:19" x14ac:dyDescent="0.3">
      <c r="A8" s="5">
        <v>7</v>
      </c>
      <c r="B8" s="39" t="s">
        <v>24</v>
      </c>
      <c r="C8" s="43" t="s">
        <v>38</v>
      </c>
    </row>
    <row r="9" spans="1:19" x14ac:dyDescent="0.3">
      <c r="A9" s="5">
        <v>8</v>
      </c>
      <c r="B9" s="39" t="s">
        <v>79</v>
      </c>
      <c r="C9" s="43" t="s">
        <v>38</v>
      </c>
    </row>
    <row r="10" spans="1:19" x14ac:dyDescent="0.3">
      <c r="A10" s="5">
        <v>9</v>
      </c>
      <c r="B10" s="39" t="s">
        <v>44</v>
      </c>
      <c r="C10" s="41" t="s">
        <v>45</v>
      </c>
    </row>
    <row r="11" spans="1:19" x14ac:dyDescent="0.3">
      <c r="A11" s="5">
        <v>10</v>
      </c>
      <c r="B11" s="39" t="s">
        <v>12</v>
      </c>
      <c r="C11" s="43" t="s">
        <v>42</v>
      </c>
    </row>
    <row r="12" spans="1:19" x14ac:dyDescent="0.3">
      <c r="A12" s="5">
        <v>11</v>
      </c>
      <c r="B12" s="39" t="s">
        <v>8</v>
      </c>
      <c r="C12" s="43" t="s">
        <v>42</v>
      </c>
      <c r="H12" s="23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5"/>
    </row>
    <row r="13" spans="1:19" x14ac:dyDescent="0.3">
      <c r="A13" s="5">
        <v>12</v>
      </c>
      <c r="B13" s="39" t="s">
        <v>15</v>
      </c>
      <c r="C13" s="43" t="s">
        <v>42</v>
      </c>
      <c r="H13" s="26"/>
      <c r="S13" s="27"/>
    </row>
    <row r="14" spans="1:19" x14ac:dyDescent="0.3">
      <c r="A14" s="5">
        <v>13</v>
      </c>
      <c r="B14" s="39" t="s">
        <v>73</v>
      </c>
      <c r="C14" s="43" t="s">
        <v>80</v>
      </c>
      <c r="H14" s="26"/>
      <c r="S14" s="27"/>
    </row>
    <row r="15" spans="1:19" x14ac:dyDescent="0.3">
      <c r="A15" s="5">
        <v>14</v>
      </c>
      <c r="B15" s="39" t="s">
        <v>72</v>
      </c>
      <c r="C15" s="43" t="s">
        <v>81</v>
      </c>
      <c r="H15" s="26"/>
      <c r="I15" s="31">
        <v>1</v>
      </c>
      <c r="J15" s="31">
        <v>2</v>
      </c>
      <c r="K15" s="31">
        <v>3</v>
      </c>
      <c r="L15" s="1"/>
      <c r="M15" s="1"/>
      <c r="N15" s="31">
        <v>19</v>
      </c>
      <c r="O15" s="31">
        <v>20</v>
      </c>
      <c r="P15" s="31">
        <v>21</v>
      </c>
      <c r="Q15" s="31">
        <v>22</v>
      </c>
      <c r="R15" s="31">
        <v>23</v>
      </c>
      <c r="S15" s="27"/>
    </row>
    <row r="16" spans="1:19" x14ac:dyDescent="0.3">
      <c r="A16" s="5">
        <v>15</v>
      </c>
      <c r="B16" s="39" t="s">
        <v>74</v>
      </c>
      <c r="C16" s="43" t="s">
        <v>81</v>
      </c>
      <c r="H16" s="26"/>
      <c r="I16" s="31">
        <v>4</v>
      </c>
      <c r="J16" s="31">
        <v>5</v>
      </c>
      <c r="K16" s="31">
        <v>6</v>
      </c>
      <c r="L16" s="1"/>
      <c r="M16" s="1"/>
      <c r="N16" s="31">
        <v>24</v>
      </c>
      <c r="O16" s="31">
        <v>25</v>
      </c>
      <c r="P16" s="31">
        <v>26</v>
      </c>
      <c r="Q16" s="31">
        <v>27</v>
      </c>
      <c r="R16" s="31">
        <v>28</v>
      </c>
      <c r="S16" s="27"/>
    </row>
    <row r="17" spans="1:19" x14ac:dyDescent="0.3">
      <c r="A17" s="5">
        <v>16</v>
      </c>
      <c r="B17" s="39" t="s">
        <v>4</v>
      </c>
      <c r="C17" s="43" t="s">
        <v>82</v>
      </c>
      <c r="H17" s="26"/>
      <c r="I17" s="1"/>
      <c r="J17" s="1"/>
      <c r="K17" s="1"/>
      <c r="L17" s="1"/>
      <c r="M17" s="1"/>
      <c r="N17" s="1"/>
      <c r="O17" s="1"/>
      <c r="P17" s="1"/>
      <c r="Q17" s="1"/>
      <c r="R17" s="1"/>
      <c r="S17" s="27"/>
    </row>
    <row r="18" spans="1:19" x14ac:dyDescent="0.3">
      <c r="A18" s="5">
        <v>17</v>
      </c>
      <c r="B18" s="39" t="s">
        <v>41</v>
      </c>
      <c r="C18" s="37" t="s">
        <v>38</v>
      </c>
      <c r="H18" s="26"/>
      <c r="I18" s="1"/>
      <c r="J18" s="1"/>
      <c r="K18" s="1"/>
      <c r="L18" s="1"/>
      <c r="M18" s="1"/>
      <c r="N18" s="1"/>
      <c r="O18" s="1"/>
      <c r="P18" s="1"/>
      <c r="Q18" s="1"/>
      <c r="R18" s="1"/>
      <c r="S18" s="27"/>
    </row>
    <row r="19" spans="1:19" x14ac:dyDescent="0.3">
      <c r="A19" s="5">
        <v>18</v>
      </c>
      <c r="B19" s="39" t="s">
        <v>39</v>
      </c>
      <c r="C19" s="37" t="s">
        <v>38</v>
      </c>
      <c r="H19" s="26"/>
      <c r="I19" s="31">
        <v>7</v>
      </c>
      <c r="J19" s="31">
        <v>8</v>
      </c>
      <c r="K19" s="31">
        <v>9</v>
      </c>
      <c r="L19" s="1"/>
      <c r="M19" s="1"/>
      <c r="N19" s="31">
        <v>29</v>
      </c>
      <c r="O19" s="31">
        <v>30</v>
      </c>
      <c r="P19" s="31">
        <v>31</v>
      </c>
      <c r="Q19" s="31">
        <v>32</v>
      </c>
      <c r="R19" s="31">
        <v>33</v>
      </c>
      <c r="S19" s="27"/>
    </row>
    <row r="20" spans="1:19" x14ac:dyDescent="0.3">
      <c r="A20" s="5">
        <v>19</v>
      </c>
      <c r="B20" s="39" t="s">
        <v>7</v>
      </c>
      <c r="C20" s="43" t="s">
        <v>83</v>
      </c>
      <c r="H20" s="26"/>
      <c r="I20" s="31">
        <v>10</v>
      </c>
      <c r="J20" s="31">
        <v>11</v>
      </c>
      <c r="K20" s="31">
        <v>12</v>
      </c>
      <c r="L20" s="1"/>
      <c r="M20" s="1"/>
      <c r="N20" s="31">
        <v>34</v>
      </c>
      <c r="O20" s="31">
        <v>35</v>
      </c>
      <c r="P20" s="31">
        <v>36</v>
      </c>
      <c r="Q20" s="31">
        <v>37</v>
      </c>
      <c r="R20" s="31">
        <v>38</v>
      </c>
      <c r="S20" s="27"/>
    </row>
    <row r="21" spans="1:19" x14ac:dyDescent="0.3">
      <c r="A21" s="5">
        <v>20</v>
      </c>
      <c r="B21" s="39" t="s">
        <v>9</v>
      </c>
      <c r="C21" s="43" t="s">
        <v>37</v>
      </c>
      <c r="H21" s="26"/>
      <c r="I21" s="1"/>
      <c r="J21" s="1"/>
      <c r="K21" s="1"/>
      <c r="L21" s="1"/>
      <c r="M21" s="1"/>
      <c r="N21" s="1"/>
      <c r="O21" s="1"/>
      <c r="P21" s="1"/>
      <c r="Q21" s="1"/>
      <c r="R21" s="1"/>
      <c r="S21" s="27"/>
    </row>
    <row r="22" spans="1:19" x14ac:dyDescent="0.3">
      <c r="A22" s="5">
        <v>21</v>
      </c>
      <c r="B22" s="39" t="s">
        <v>31</v>
      </c>
      <c r="C22" s="43" t="s">
        <v>76</v>
      </c>
      <c r="H22" s="26"/>
      <c r="I22" s="1"/>
      <c r="J22" s="1"/>
      <c r="K22" s="1"/>
      <c r="L22" s="1"/>
      <c r="M22" s="1"/>
      <c r="N22" s="1"/>
      <c r="O22" s="1"/>
      <c r="P22" s="1"/>
      <c r="Q22" s="1"/>
      <c r="R22" s="1"/>
      <c r="S22" s="27"/>
    </row>
    <row r="23" spans="1:19" x14ac:dyDescent="0.3">
      <c r="A23" s="5">
        <v>22</v>
      </c>
      <c r="B23" s="39" t="s">
        <v>14</v>
      </c>
      <c r="C23" s="43" t="s">
        <v>75</v>
      </c>
      <c r="H23" s="26"/>
      <c r="I23" s="1"/>
      <c r="J23" s="1"/>
      <c r="K23" s="1"/>
      <c r="L23" s="1"/>
      <c r="M23" s="1"/>
      <c r="N23" s="1"/>
      <c r="O23" s="1"/>
      <c r="P23" s="1"/>
      <c r="Q23" s="1"/>
      <c r="R23" s="1"/>
      <c r="S23" s="27"/>
    </row>
    <row r="24" spans="1:19" x14ac:dyDescent="0.3">
      <c r="A24" s="5">
        <v>23</v>
      </c>
      <c r="B24" s="39" t="s">
        <v>3</v>
      </c>
      <c r="C24" s="42" t="s">
        <v>36</v>
      </c>
      <c r="H24" s="26"/>
      <c r="I24" s="31">
        <v>13</v>
      </c>
      <c r="J24" s="31">
        <v>14</v>
      </c>
      <c r="K24" s="31">
        <v>15</v>
      </c>
      <c r="L24" s="1"/>
      <c r="M24" s="1"/>
      <c r="N24" s="31">
        <v>39</v>
      </c>
      <c r="O24" s="31">
        <v>40</v>
      </c>
      <c r="P24" s="31">
        <v>41</v>
      </c>
      <c r="Q24" s="31">
        <v>42</v>
      </c>
      <c r="R24" s="31">
        <v>43</v>
      </c>
      <c r="S24" s="27"/>
    </row>
    <row r="25" spans="1:19" x14ac:dyDescent="0.3">
      <c r="A25" s="5">
        <v>24</v>
      </c>
      <c r="B25" s="39" t="s">
        <v>11</v>
      </c>
      <c r="C25" s="44" t="s">
        <v>32</v>
      </c>
      <c r="H25" s="26"/>
      <c r="I25" s="31">
        <v>16</v>
      </c>
      <c r="J25" s="31">
        <v>17</v>
      </c>
      <c r="K25" s="31">
        <v>18</v>
      </c>
      <c r="L25" s="1"/>
      <c r="M25" s="1"/>
      <c r="N25" s="1"/>
      <c r="O25" s="1"/>
      <c r="P25" s="1"/>
      <c r="Q25" s="1"/>
      <c r="R25" s="1"/>
      <c r="S25" s="27"/>
    </row>
    <row r="26" spans="1:19" x14ac:dyDescent="0.3">
      <c r="A26" s="5">
        <v>25</v>
      </c>
      <c r="B26" s="39" t="s">
        <v>10</v>
      </c>
      <c r="C26" s="43" t="s">
        <v>37</v>
      </c>
      <c r="H26" s="26"/>
      <c r="S26" s="27"/>
    </row>
    <row r="27" spans="1:19" x14ac:dyDescent="0.3">
      <c r="A27" s="5">
        <v>26</v>
      </c>
      <c r="B27" s="39" t="s">
        <v>77</v>
      </c>
      <c r="C27" s="43" t="s">
        <v>38</v>
      </c>
      <c r="H27" s="26"/>
      <c r="S27" s="27"/>
    </row>
    <row r="28" spans="1:19" x14ac:dyDescent="0.3">
      <c r="A28" s="5">
        <v>27</v>
      </c>
      <c r="B28" s="39" t="s">
        <v>30</v>
      </c>
      <c r="C28" s="37" t="s">
        <v>38</v>
      </c>
      <c r="H28" s="28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30"/>
    </row>
    <row r="29" spans="1:19" x14ac:dyDescent="0.3">
      <c r="A29" s="5">
        <v>28</v>
      </c>
      <c r="B29" s="39" t="s">
        <v>68</v>
      </c>
      <c r="C29" s="37" t="s">
        <v>38</v>
      </c>
    </row>
    <row r="30" spans="1:19" x14ac:dyDescent="0.3">
      <c r="A30" s="5">
        <v>29</v>
      </c>
      <c r="B30" s="39" t="s">
        <v>26</v>
      </c>
      <c r="C30" s="37" t="s">
        <v>38</v>
      </c>
    </row>
    <row r="31" spans="1:19" x14ac:dyDescent="0.3">
      <c r="A31" s="5">
        <v>30</v>
      </c>
      <c r="B31" s="39" t="s">
        <v>25</v>
      </c>
      <c r="C31" s="37" t="s">
        <v>38</v>
      </c>
    </row>
    <row r="32" spans="1:19" x14ac:dyDescent="0.3">
      <c r="A32" s="5">
        <v>31</v>
      </c>
      <c r="B32" s="39" t="s">
        <v>17</v>
      </c>
      <c r="C32" s="42" t="s">
        <v>32</v>
      </c>
    </row>
    <row r="33" spans="1:3" x14ac:dyDescent="0.3">
      <c r="A33" s="5">
        <v>32</v>
      </c>
      <c r="B33" s="39" t="s">
        <v>70</v>
      </c>
      <c r="C33" s="43" t="s">
        <v>38</v>
      </c>
    </row>
    <row r="34" spans="1:3" x14ac:dyDescent="0.3">
      <c r="A34" s="5">
        <v>33</v>
      </c>
      <c r="B34" s="39" t="s">
        <v>78</v>
      </c>
      <c r="C34" s="37" t="s">
        <v>38</v>
      </c>
    </row>
    <row r="35" spans="1:3" x14ac:dyDescent="0.3">
      <c r="A35" s="5">
        <v>34</v>
      </c>
      <c r="B35" s="39" t="s">
        <v>23</v>
      </c>
      <c r="C35" s="46" t="s">
        <v>38</v>
      </c>
    </row>
    <row r="36" spans="1:3" x14ac:dyDescent="0.3">
      <c r="A36" s="5">
        <v>35</v>
      </c>
      <c r="B36" s="39" t="s">
        <v>69</v>
      </c>
      <c r="C36" s="46" t="s">
        <v>38</v>
      </c>
    </row>
    <row r="37" spans="1:3" x14ac:dyDescent="0.3">
      <c r="A37" s="5">
        <v>36</v>
      </c>
      <c r="B37" s="39" t="s">
        <v>16</v>
      </c>
      <c r="C37" s="45" t="s">
        <v>40</v>
      </c>
    </row>
    <row r="38" spans="1:3" x14ac:dyDescent="0.3">
      <c r="A38" s="5">
        <v>37</v>
      </c>
      <c r="B38" s="39" t="s">
        <v>29</v>
      </c>
      <c r="C38" s="37" t="s">
        <v>38</v>
      </c>
    </row>
    <row r="39" spans="1:3" x14ac:dyDescent="0.3">
      <c r="A39" s="5">
        <v>38</v>
      </c>
      <c r="B39" s="39" t="s">
        <v>22</v>
      </c>
      <c r="C39" s="43" t="s">
        <v>38</v>
      </c>
    </row>
    <row r="40" spans="1:3" x14ac:dyDescent="0.3">
      <c r="A40" s="5">
        <v>39</v>
      </c>
      <c r="B40" s="39" t="s">
        <v>20</v>
      </c>
      <c r="C40" s="43" t="s">
        <v>38</v>
      </c>
    </row>
    <row r="41" spans="1:3" x14ac:dyDescent="0.3">
      <c r="A41" s="5">
        <v>40</v>
      </c>
      <c r="B41" s="39" t="s">
        <v>21</v>
      </c>
      <c r="C41" s="43" t="s">
        <v>38</v>
      </c>
    </row>
    <row r="42" spans="1:3" x14ac:dyDescent="0.3">
      <c r="A42" s="4">
        <v>41</v>
      </c>
      <c r="B42" s="39" t="s">
        <v>13</v>
      </c>
      <c r="C42" s="45" t="s">
        <v>40</v>
      </c>
    </row>
    <row r="43" spans="1:3" x14ac:dyDescent="0.3">
      <c r="A43" s="4">
        <v>42</v>
      </c>
      <c r="B43" s="39" t="s">
        <v>27</v>
      </c>
      <c r="C43" s="37" t="s">
        <v>38</v>
      </c>
    </row>
    <row r="44" spans="1:3" x14ac:dyDescent="0.3">
      <c r="A44" s="4">
        <v>43</v>
      </c>
      <c r="B44" s="39" t="s">
        <v>28</v>
      </c>
      <c r="C44" s="37" t="s">
        <v>38</v>
      </c>
    </row>
    <row r="45" spans="1:3" x14ac:dyDescent="0.3">
      <c r="A45" s="4" t="s">
        <v>35</v>
      </c>
      <c r="B45" s="38">
        <f>SUBTOTAL(103,Table146[Name])</f>
        <v>43</v>
      </c>
      <c r="C45" s="47">
        <f>SUBTOTAL(103,Table146[Role])</f>
        <v>43</v>
      </c>
    </row>
    <row r="46" spans="1:3" x14ac:dyDescent="0.3">
      <c r="B46"/>
      <c r="C46"/>
    </row>
    <row r="47" spans="1:3" x14ac:dyDescent="0.3">
      <c r="B47"/>
      <c r="C47"/>
    </row>
    <row r="48" spans="1:3" x14ac:dyDescent="0.3">
      <c r="B48"/>
      <c r="C48"/>
    </row>
    <row r="49" spans="2:3" x14ac:dyDescent="0.3">
      <c r="B49"/>
      <c r="C49"/>
    </row>
    <row r="50" spans="2:3" x14ac:dyDescent="0.3">
      <c r="B50"/>
      <c r="C50"/>
    </row>
    <row r="51" spans="2:3" x14ac:dyDescent="0.3">
      <c r="B51"/>
      <c r="C51"/>
    </row>
    <row r="52" spans="2:3" x14ac:dyDescent="0.3">
      <c r="B52"/>
      <c r="C52"/>
    </row>
    <row r="53" spans="2:3" x14ac:dyDescent="0.3">
      <c r="B53"/>
      <c r="C53"/>
    </row>
    <row r="54" spans="2:3" x14ac:dyDescent="0.3">
      <c r="B54"/>
      <c r="C54"/>
    </row>
    <row r="55" spans="2:3" x14ac:dyDescent="0.3">
      <c r="B55"/>
      <c r="C55"/>
    </row>
    <row r="56" spans="2:3" x14ac:dyDescent="0.3">
      <c r="B56"/>
      <c r="C56"/>
    </row>
    <row r="57" spans="2:3" x14ac:dyDescent="0.3">
      <c r="B57"/>
      <c r="C57"/>
    </row>
    <row r="58" spans="2:3" x14ac:dyDescent="0.3">
      <c r="B58"/>
      <c r="C58"/>
    </row>
    <row r="59" spans="2:3" x14ac:dyDescent="0.3">
      <c r="B59"/>
      <c r="C59"/>
    </row>
    <row r="60" spans="2:3" x14ac:dyDescent="0.3">
      <c r="B60"/>
      <c r="C60"/>
    </row>
    <row r="61" spans="2:3" x14ac:dyDescent="0.3">
      <c r="B61"/>
      <c r="C61"/>
    </row>
    <row r="62" spans="2:3" x14ac:dyDescent="0.3">
      <c r="B62"/>
      <c r="C62"/>
    </row>
  </sheetData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258F-7AB7-45F3-9D82-6418BD6525C2}">
  <sheetPr codeName="Sheet5"/>
  <dimension ref="H11:U28"/>
  <sheetViews>
    <sheetView topLeftCell="M1" workbookViewId="0">
      <selection activeCell="R17" sqref="R17"/>
    </sheetView>
  </sheetViews>
  <sheetFormatPr defaultRowHeight="14.4" x14ac:dyDescent="0.3"/>
  <cols>
    <col min="8" max="8" width="21.77734375" bestFit="1" customWidth="1"/>
    <col min="10" max="10" width="22.44140625" customWidth="1"/>
    <col min="12" max="12" width="21.77734375" bestFit="1" customWidth="1"/>
    <col min="14" max="14" width="11.6640625" customWidth="1"/>
    <col min="16" max="16" width="27.44140625" customWidth="1"/>
    <col min="17" max="17" width="26.44140625" customWidth="1"/>
    <col min="18" max="18" width="19.5546875" bestFit="1" customWidth="1"/>
    <col min="20" max="20" width="24.109375" customWidth="1"/>
    <col min="21" max="21" width="15" customWidth="1"/>
  </cols>
  <sheetData>
    <row r="11" spans="8:21" x14ac:dyDescent="0.3">
      <c r="H11" s="56"/>
      <c r="I11" s="56"/>
      <c r="J11" s="56"/>
      <c r="K11" s="56"/>
      <c r="L11" s="57"/>
      <c r="M11" s="56"/>
      <c r="N11" s="56"/>
      <c r="O11" s="56"/>
      <c r="P11" s="56"/>
      <c r="Q11" s="56"/>
    </row>
    <row r="12" spans="8:21" x14ac:dyDescent="0.3">
      <c r="H12" s="15" t="s">
        <v>63</v>
      </c>
      <c r="I12" s="48"/>
      <c r="J12" s="15"/>
      <c r="K12" s="48"/>
      <c r="L12" s="15" t="s">
        <v>63</v>
      </c>
      <c r="M12" s="48"/>
      <c r="N12" s="48" t="s">
        <v>88</v>
      </c>
      <c r="O12" s="48" t="s">
        <v>90</v>
      </c>
      <c r="P12" s="48" t="s">
        <v>92</v>
      </c>
      <c r="Q12" s="48" t="s">
        <v>139</v>
      </c>
      <c r="R12" s="48" t="s">
        <v>144</v>
      </c>
      <c r="S12" s="63" t="s">
        <v>186</v>
      </c>
      <c r="T12" s="70" t="s">
        <v>230</v>
      </c>
      <c r="U12" t="s">
        <v>363</v>
      </c>
    </row>
    <row r="13" spans="8:21" x14ac:dyDescent="0.3">
      <c r="H13" s="15" t="s">
        <v>33</v>
      </c>
      <c r="I13" s="48"/>
      <c r="J13" s="15" t="s">
        <v>49</v>
      </c>
      <c r="K13" s="48"/>
      <c r="L13" s="15" t="s">
        <v>33</v>
      </c>
      <c r="M13" s="48"/>
      <c r="N13" s="48" t="s">
        <v>89</v>
      </c>
      <c r="O13" s="48" t="s">
        <v>91</v>
      </c>
      <c r="P13" s="48" t="s">
        <v>93</v>
      </c>
      <c r="Q13" s="48" t="s">
        <v>140</v>
      </c>
      <c r="R13" s="48" t="s">
        <v>145</v>
      </c>
      <c r="S13" s="63" t="s">
        <v>174</v>
      </c>
      <c r="T13" s="71" t="s">
        <v>231</v>
      </c>
      <c r="U13" t="s">
        <v>364</v>
      </c>
    </row>
    <row r="14" spans="8:21" x14ac:dyDescent="0.3">
      <c r="H14" s="15" t="s">
        <v>52</v>
      </c>
      <c r="I14" s="48"/>
      <c r="J14" s="15" t="s">
        <v>47</v>
      </c>
      <c r="K14" s="48"/>
      <c r="L14" s="15" t="s">
        <v>52</v>
      </c>
      <c r="M14" s="48"/>
      <c r="N14" s="48" t="s">
        <v>160</v>
      </c>
      <c r="O14" s="48"/>
      <c r="P14" s="48" t="s">
        <v>94</v>
      </c>
      <c r="Q14" s="48" t="s">
        <v>160</v>
      </c>
      <c r="R14" s="48" t="s">
        <v>146</v>
      </c>
      <c r="T14" t="s">
        <v>232</v>
      </c>
    </row>
    <row r="15" spans="8:21" x14ac:dyDescent="0.3">
      <c r="H15" s="15" t="s">
        <v>32</v>
      </c>
      <c r="I15" s="48"/>
      <c r="J15" s="15" t="s">
        <v>50</v>
      </c>
      <c r="K15" s="48"/>
      <c r="L15" s="43" t="s">
        <v>42</v>
      </c>
      <c r="M15" s="48"/>
      <c r="N15" s="48"/>
      <c r="O15" s="48"/>
      <c r="P15" s="48" t="s">
        <v>95</v>
      </c>
      <c r="Q15" s="48" t="s">
        <v>330</v>
      </c>
      <c r="R15" s="48" t="s">
        <v>147</v>
      </c>
    </row>
    <row r="16" spans="8:21" x14ac:dyDescent="0.3">
      <c r="H16" s="15" t="s">
        <v>132</v>
      </c>
      <c r="I16" s="48"/>
      <c r="J16" s="15" t="s">
        <v>177</v>
      </c>
      <c r="K16" s="48"/>
      <c r="L16" s="15" t="s">
        <v>40</v>
      </c>
      <c r="M16" s="48"/>
      <c r="N16" s="48"/>
      <c r="O16" s="48"/>
      <c r="P16" s="48" t="s">
        <v>96</v>
      </c>
      <c r="Q16" s="48" t="s">
        <v>394</v>
      </c>
      <c r="R16" s="48" t="s">
        <v>395</v>
      </c>
    </row>
    <row r="17" spans="8:18" x14ac:dyDescent="0.3">
      <c r="H17" s="15" t="s">
        <v>88</v>
      </c>
      <c r="I17" s="48"/>
      <c r="J17" s="15" t="s">
        <v>178</v>
      </c>
      <c r="K17" s="48"/>
      <c r="L17" s="15" t="s">
        <v>65</v>
      </c>
      <c r="M17" s="48"/>
      <c r="N17" s="48"/>
      <c r="O17" s="48"/>
      <c r="P17" s="48" t="s">
        <v>97</v>
      </c>
      <c r="Q17" s="48"/>
      <c r="R17" s="48"/>
    </row>
    <row r="18" spans="8:18" x14ac:dyDescent="0.3">
      <c r="H18" s="15" t="s">
        <v>183</v>
      </c>
      <c r="I18" s="48"/>
      <c r="J18" s="15" t="s">
        <v>179</v>
      </c>
      <c r="K18" s="48"/>
      <c r="L18" s="43" t="s">
        <v>132</v>
      </c>
      <c r="M18" s="48"/>
      <c r="N18" s="48"/>
      <c r="O18" s="48"/>
      <c r="P18" s="48" t="s">
        <v>149</v>
      </c>
      <c r="Q18" s="48"/>
      <c r="R18" s="48"/>
    </row>
    <row r="19" spans="8:18" x14ac:dyDescent="0.3">
      <c r="H19" s="15" t="s">
        <v>233</v>
      </c>
      <c r="I19" s="48"/>
      <c r="J19" s="15" t="s">
        <v>180</v>
      </c>
      <c r="K19" s="48"/>
      <c r="L19" s="48" t="s">
        <v>142</v>
      </c>
      <c r="M19" s="48"/>
      <c r="N19" s="48"/>
      <c r="O19" s="48"/>
      <c r="P19" s="48" t="s">
        <v>336</v>
      </c>
      <c r="Q19" s="48"/>
      <c r="R19" s="48"/>
    </row>
    <row r="20" spans="8:18" x14ac:dyDescent="0.3">
      <c r="H20" s="15"/>
      <c r="I20" s="48"/>
      <c r="J20" s="15" t="s">
        <v>157</v>
      </c>
      <c r="K20" s="48"/>
      <c r="L20" s="48" t="s">
        <v>233</v>
      </c>
      <c r="M20" s="48"/>
      <c r="N20" s="48"/>
      <c r="O20" s="48"/>
      <c r="P20" s="48"/>
      <c r="Q20" s="48"/>
      <c r="R20" s="48"/>
    </row>
    <row r="21" spans="8:18" x14ac:dyDescent="0.3">
      <c r="H21" s="15"/>
      <c r="I21" s="48"/>
      <c r="J21" s="15" t="s">
        <v>183</v>
      </c>
      <c r="K21" s="48"/>
      <c r="L21" s="48" t="s">
        <v>188</v>
      </c>
      <c r="M21" s="48"/>
      <c r="N21" s="48"/>
      <c r="O21" s="48"/>
      <c r="P21" s="48"/>
      <c r="Q21" s="48"/>
      <c r="R21" s="48"/>
    </row>
    <row r="22" spans="8:18" x14ac:dyDescent="0.3">
      <c r="H22" s="15"/>
      <c r="I22" s="48"/>
      <c r="J22" s="15" t="s">
        <v>184</v>
      </c>
      <c r="K22" s="48"/>
      <c r="L22" s="48" t="s">
        <v>377</v>
      </c>
      <c r="M22" s="48"/>
      <c r="N22" s="48"/>
      <c r="O22" s="48"/>
      <c r="P22" s="48"/>
      <c r="Q22" s="48"/>
      <c r="R22" s="48"/>
    </row>
    <row r="23" spans="8:18" x14ac:dyDescent="0.3">
      <c r="H23" s="15"/>
      <c r="I23" s="48"/>
      <c r="J23" s="48" t="s">
        <v>226</v>
      </c>
      <c r="K23" s="48"/>
      <c r="L23" s="48" t="s">
        <v>393</v>
      </c>
      <c r="M23" s="48"/>
      <c r="N23" s="48"/>
      <c r="O23" s="48"/>
      <c r="P23" s="48"/>
      <c r="Q23" s="48"/>
      <c r="R23" s="48"/>
    </row>
    <row r="24" spans="8:18" x14ac:dyDescent="0.3">
      <c r="H24" s="15"/>
      <c r="I24" s="48"/>
      <c r="J24" s="15" t="s">
        <v>233</v>
      </c>
      <c r="K24" s="48"/>
      <c r="L24" s="48"/>
      <c r="M24" s="48"/>
      <c r="N24" s="48"/>
      <c r="O24" s="48"/>
      <c r="P24" s="48"/>
      <c r="Q24" s="48"/>
      <c r="R24" s="48"/>
    </row>
    <row r="25" spans="8:18" x14ac:dyDescent="0.3">
      <c r="H25" s="15"/>
      <c r="I25" s="48"/>
      <c r="J25" s="48" t="s">
        <v>369</v>
      </c>
      <c r="K25" s="48"/>
      <c r="L25" s="48"/>
      <c r="M25" s="48"/>
      <c r="N25" s="48"/>
      <c r="O25" s="48"/>
      <c r="P25" s="48"/>
      <c r="Q25" s="48"/>
      <c r="R25" s="48"/>
    </row>
    <row r="26" spans="8:18" x14ac:dyDescent="0.3">
      <c r="H26" s="15"/>
      <c r="I26" s="48"/>
      <c r="J26" s="48" t="s">
        <v>309</v>
      </c>
      <c r="K26" s="48"/>
      <c r="L26" s="48"/>
      <c r="M26" s="48"/>
      <c r="N26" s="48"/>
      <c r="O26" s="48"/>
      <c r="P26" s="48"/>
      <c r="Q26" s="48"/>
      <c r="R26" s="48"/>
    </row>
    <row r="27" spans="8:18" x14ac:dyDescent="0.3">
      <c r="H27" s="15"/>
      <c r="J27" t="s">
        <v>188</v>
      </c>
    </row>
    <row r="28" spans="8:18" x14ac:dyDescent="0.3">
      <c r="H28" s="15"/>
      <c r="J28" t="s">
        <v>378</v>
      </c>
    </row>
  </sheetData>
  <phoneticPr fontId="13" type="noConversion"/>
  <dataValidations disablePrompts="1" count="4">
    <dataValidation type="list" allowBlank="1" showInputMessage="1" showErrorMessage="1" sqref="J25" xr:uid="{4041C9DB-30EC-4521-AC2B-D2240EB053A5}">
      <formula1>J12:J21</formula1>
    </dataValidation>
    <dataValidation type="list" allowBlank="1" showInputMessage="1" showErrorMessage="1" sqref="J11" xr:uid="{B0B20E63-9902-4FEF-B2F5-92B7EEDFCF8F}">
      <formula1>$J$12:$J$21</formula1>
    </dataValidation>
    <dataValidation type="list" allowBlank="1" showInputMessage="1" showErrorMessage="1" sqref="H22" xr:uid="{6DF4B45D-82AC-4699-AAEB-728D5AB5E2C0}">
      <formula1>$H$12:$H$25</formula1>
    </dataValidation>
    <dataValidation type="list" allowBlank="1" showInputMessage="1" showErrorMessage="1" sqref="H26 H24 J20" xr:uid="{360CA40C-A355-4F71-90F2-CF52631C5D54}">
      <formula1>$H$12:$H$26</formula1>
    </dataValidation>
  </dataValidations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E0B7-56C3-420B-9D9E-99CAF277029F}">
  <dimension ref="A1:F7"/>
  <sheetViews>
    <sheetView workbookViewId="0">
      <selection activeCell="B3" sqref="B3"/>
    </sheetView>
  </sheetViews>
  <sheetFormatPr defaultRowHeight="14.4" x14ac:dyDescent="0.3"/>
  <cols>
    <col min="1" max="1" width="15.6640625" customWidth="1"/>
    <col min="2" max="2" width="13.88671875" customWidth="1"/>
    <col min="3" max="3" width="15.33203125" customWidth="1"/>
  </cols>
  <sheetData>
    <row r="1" spans="1:6" x14ac:dyDescent="0.3">
      <c r="A1" s="94"/>
      <c r="B1" s="95" t="s">
        <v>379</v>
      </c>
      <c r="C1" s="96" t="s">
        <v>380</v>
      </c>
    </row>
    <row r="2" spans="1:6" x14ac:dyDescent="0.3">
      <c r="A2" s="97" t="s">
        <v>381</v>
      </c>
      <c r="B2" s="48">
        <v>148</v>
      </c>
      <c r="C2" s="98">
        <v>6</v>
      </c>
      <c r="E2" s="48" t="s">
        <v>96</v>
      </c>
      <c r="F2" s="48">
        <v>7</v>
      </c>
    </row>
    <row r="3" spans="1:6" x14ac:dyDescent="0.3">
      <c r="A3" s="97" t="s">
        <v>382</v>
      </c>
      <c r="B3" s="48">
        <v>95</v>
      </c>
      <c r="C3" s="98">
        <v>2</v>
      </c>
      <c r="E3" s="48" t="s">
        <v>97</v>
      </c>
      <c r="F3" s="48">
        <v>5</v>
      </c>
    </row>
    <row r="4" spans="1:6" x14ac:dyDescent="0.3">
      <c r="A4" s="97" t="s">
        <v>383</v>
      </c>
      <c r="B4" s="48">
        <v>8</v>
      </c>
      <c r="C4" s="98">
        <v>2</v>
      </c>
      <c r="F4">
        <f>SUM(F2:F3)</f>
        <v>12</v>
      </c>
    </row>
    <row r="5" spans="1:6" x14ac:dyDescent="0.3">
      <c r="A5" s="97" t="s">
        <v>384</v>
      </c>
      <c r="B5" s="48">
        <v>9</v>
      </c>
      <c r="C5" s="98"/>
    </row>
    <row r="6" spans="1:6" x14ac:dyDescent="0.3">
      <c r="A6" s="97" t="s">
        <v>385</v>
      </c>
      <c r="B6" s="48">
        <v>8</v>
      </c>
      <c r="C6" s="98"/>
    </row>
    <row r="7" spans="1:6" ht="15" thickBot="1" x14ac:dyDescent="0.35">
      <c r="A7" s="166">
        <v>268</v>
      </c>
      <c r="B7" s="167"/>
      <c r="C7" s="168"/>
    </row>
  </sheetData>
  <mergeCells count="1">
    <mergeCell ref="A7:C7"/>
  </mergeCells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88C7-E094-412B-836A-B511A285DAB9}">
  <dimension ref="A1:E20"/>
  <sheetViews>
    <sheetView workbookViewId="0">
      <selection activeCell="E22" sqref="E22"/>
    </sheetView>
  </sheetViews>
  <sheetFormatPr defaultRowHeight="14.4" x14ac:dyDescent="0.3"/>
  <cols>
    <col min="1" max="1" width="34.33203125" customWidth="1"/>
    <col min="2" max="2" width="20.5546875" customWidth="1"/>
    <col min="3" max="3" width="18.6640625" customWidth="1"/>
    <col min="4" max="4" width="19.109375" customWidth="1"/>
    <col min="5" max="5" width="22.5546875" customWidth="1"/>
  </cols>
  <sheetData>
    <row r="1" spans="1:5" x14ac:dyDescent="0.3">
      <c r="A1" s="103" t="s">
        <v>18</v>
      </c>
      <c r="B1" s="104" t="s">
        <v>99</v>
      </c>
      <c r="C1" s="104" t="s">
        <v>140</v>
      </c>
      <c r="D1" s="105" t="s">
        <v>98</v>
      </c>
      <c r="E1" s="105" t="s">
        <v>388</v>
      </c>
    </row>
    <row r="2" spans="1:5" x14ac:dyDescent="0.3">
      <c r="A2" s="102" t="s">
        <v>24</v>
      </c>
      <c r="B2" s="100" t="s">
        <v>94</v>
      </c>
      <c r="C2" s="100" t="s">
        <v>160</v>
      </c>
      <c r="D2" s="101">
        <v>45362</v>
      </c>
      <c r="E2" s="106">
        <v>45588</v>
      </c>
    </row>
    <row r="3" spans="1:5" x14ac:dyDescent="0.3">
      <c r="A3" s="102" t="s">
        <v>79</v>
      </c>
      <c r="B3" s="100" t="s">
        <v>92</v>
      </c>
      <c r="C3" s="100" t="s">
        <v>160</v>
      </c>
      <c r="D3" s="101">
        <v>45386</v>
      </c>
      <c r="E3" s="106">
        <v>45690</v>
      </c>
    </row>
    <row r="4" spans="1:5" x14ac:dyDescent="0.3">
      <c r="A4" s="102" t="s">
        <v>143</v>
      </c>
      <c r="B4" s="100" t="s">
        <v>94</v>
      </c>
      <c r="C4" s="100" t="s">
        <v>160</v>
      </c>
      <c r="D4" s="101">
        <v>45474</v>
      </c>
      <c r="E4" s="106">
        <v>45648</v>
      </c>
    </row>
    <row r="5" spans="1:5" x14ac:dyDescent="0.3">
      <c r="A5" s="102" t="s">
        <v>14</v>
      </c>
      <c r="B5" s="100" t="s">
        <v>94</v>
      </c>
      <c r="C5" s="100" t="s">
        <v>160</v>
      </c>
      <c r="D5" s="101">
        <v>45298</v>
      </c>
      <c r="E5" s="106">
        <v>45764</v>
      </c>
    </row>
    <row r="6" spans="1:5" x14ac:dyDescent="0.3">
      <c r="A6" s="102" t="s">
        <v>21</v>
      </c>
      <c r="B6" s="100" t="s">
        <v>94</v>
      </c>
      <c r="C6" s="100" t="s">
        <v>160</v>
      </c>
      <c r="D6" s="101">
        <v>45362</v>
      </c>
      <c r="E6" s="106">
        <v>45656</v>
      </c>
    </row>
    <row r="7" spans="1:5" x14ac:dyDescent="0.3">
      <c r="A7" s="102" t="s">
        <v>9</v>
      </c>
      <c r="B7" s="100" t="s">
        <v>94</v>
      </c>
      <c r="C7" s="100" t="s">
        <v>160</v>
      </c>
      <c r="D7" s="101">
        <v>45280</v>
      </c>
      <c r="E7" s="106">
        <v>45656</v>
      </c>
    </row>
    <row r="8" spans="1:5" x14ac:dyDescent="0.3">
      <c r="A8" s="102" t="s">
        <v>109</v>
      </c>
      <c r="B8" s="100" t="s">
        <v>94</v>
      </c>
      <c r="C8" s="100" t="s">
        <v>160</v>
      </c>
      <c r="D8" s="101">
        <v>45423</v>
      </c>
      <c r="E8" s="106">
        <v>45595</v>
      </c>
    </row>
    <row r="9" spans="1:5" x14ac:dyDescent="0.3">
      <c r="A9" s="102" t="s">
        <v>23</v>
      </c>
      <c r="B9" s="100" t="s">
        <v>94</v>
      </c>
      <c r="C9" s="100" t="s">
        <v>160</v>
      </c>
      <c r="D9" s="101">
        <v>45362</v>
      </c>
      <c r="E9" s="106">
        <v>45620</v>
      </c>
    </row>
    <row r="10" spans="1:5" x14ac:dyDescent="0.3">
      <c r="A10" s="102" t="s">
        <v>110</v>
      </c>
      <c r="B10" s="100" t="s">
        <v>94</v>
      </c>
      <c r="C10" s="100" t="s">
        <v>160</v>
      </c>
      <c r="D10" s="101">
        <v>45423</v>
      </c>
      <c r="E10" s="106">
        <v>45626</v>
      </c>
    </row>
    <row r="11" spans="1:5" x14ac:dyDescent="0.3">
      <c r="A11" s="102" t="s">
        <v>159</v>
      </c>
      <c r="B11" s="100" t="s">
        <v>94</v>
      </c>
      <c r="C11" s="100" t="s">
        <v>160</v>
      </c>
      <c r="D11" s="101">
        <v>45491</v>
      </c>
      <c r="E11" s="106">
        <v>45403</v>
      </c>
    </row>
    <row r="12" spans="1:5" x14ac:dyDescent="0.3">
      <c r="A12" s="102" t="s">
        <v>170</v>
      </c>
      <c r="B12" s="100" t="s">
        <v>93</v>
      </c>
      <c r="C12" s="100" t="s">
        <v>160</v>
      </c>
      <c r="D12" s="101">
        <v>45495</v>
      </c>
      <c r="E12" s="106">
        <v>45620</v>
      </c>
    </row>
    <row r="13" spans="1:5" x14ac:dyDescent="0.3">
      <c r="A13" s="102" t="s">
        <v>165</v>
      </c>
      <c r="B13" s="100" t="s">
        <v>92</v>
      </c>
      <c r="C13" s="100" t="s">
        <v>160</v>
      </c>
      <c r="D13" s="101">
        <v>45501</v>
      </c>
      <c r="E13" s="106">
        <v>45685</v>
      </c>
    </row>
    <row r="14" spans="1:5" x14ac:dyDescent="0.3">
      <c r="A14" s="102" t="s">
        <v>166</v>
      </c>
      <c r="B14" s="100" t="s">
        <v>92</v>
      </c>
      <c r="C14" s="100" t="s">
        <v>160</v>
      </c>
      <c r="D14" s="101">
        <v>45501</v>
      </c>
      <c r="E14" s="106">
        <v>45580</v>
      </c>
    </row>
    <row r="15" spans="1:5" x14ac:dyDescent="0.3">
      <c r="A15" s="102" t="s">
        <v>187</v>
      </c>
      <c r="B15" s="100" t="s">
        <v>94</v>
      </c>
      <c r="C15" s="100" t="s">
        <v>160</v>
      </c>
      <c r="D15" s="101">
        <v>45501</v>
      </c>
      <c r="E15" s="106">
        <v>45592</v>
      </c>
    </row>
    <row r="16" spans="1:5" x14ac:dyDescent="0.3">
      <c r="A16" s="102" t="s">
        <v>173</v>
      </c>
      <c r="B16" s="100" t="s">
        <v>93</v>
      </c>
      <c r="C16" s="100" t="s">
        <v>160</v>
      </c>
      <c r="D16" s="101">
        <v>45515</v>
      </c>
      <c r="E16" s="106">
        <v>45771</v>
      </c>
    </row>
    <row r="17" spans="1:5" x14ac:dyDescent="0.3">
      <c r="A17" s="102" t="s">
        <v>190</v>
      </c>
      <c r="B17" s="100" t="s">
        <v>92</v>
      </c>
      <c r="C17" s="100" t="s">
        <v>160</v>
      </c>
      <c r="D17" s="101">
        <v>45550</v>
      </c>
      <c r="E17" s="106">
        <v>45624</v>
      </c>
    </row>
    <row r="18" spans="1:5" x14ac:dyDescent="0.3">
      <c r="A18" s="102" t="s">
        <v>191</v>
      </c>
      <c r="B18" s="100" t="s">
        <v>92</v>
      </c>
      <c r="C18" s="100" t="s">
        <v>160</v>
      </c>
      <c r="D18" s="101">
        <v>45557</v>
      </c>
      <c r="E18" s="106">
        <v>45791</v>
      </c>
    </row>
    <row r="19" spans="1:5" x14ac:dyDescent="0.3">
      <c r="A19" s="102" t="s">
        <v>198</v>
      </c>
      <c r="B19" s="100" t="s">
        <v>94</v>
      </c>
      <c r="C19" s="100" t="s">
        <v>160</v>
      </c>
      <c r="D19" s="101">
        <v>45572</v>
      </c>
      <c r="E19" s="106"/>
    </row>
    <row r="20" spans="1:5" x14ac:dyDescent="0.3">
      <c r="A20" s="102" t="s">
        <v>204</v>
      </c>
      <c r="B20" s="100" t="s">
        <v>93</v>
      </c>
      <c r="C20" s="100" t="s">
        <v>160</v>
      </c>
      <c r="D20" s="101">
        <v>45585</v>
      </c>
      <c r="E20" s="106"/>
    </row>
  </sheetData>
  <conditionalFormatting sqref="A1">
    <cfRule type="duplicateValues" dxfId="152" priority="15"/>
    <cfRule type="duplicateValues" dxfId="151" priority="16"/>
  </conditionalFormatting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D8F02B-0068-4BA4-A731-5748004879D8}">
          <x14:formula1>
            <xm:f>Sheet1!$P$12:$P$18</xm:f>
          </x14:formula1>
          <xm:sqref>B1</xm:sqref>
        </x14:dataValidation>
        <x14:dataValidation type="list" allowBlank="1" showInputMessage="1" showErrorMessage="1" xr:uid="{DD41AE35-EA92-4531-A8EB-EAC6ACBBD0D5}">
          <x14:formula1>
            <xm:f>Sheet1!$Q$12:$Q$15</xm:f>
          </x14:formula1>
          <xm:sqref>C1:C20</xm:sqref>
        </x14:dataValidation>
        <x14:dataValidation type="list" allowBlank="1" showInputMessage="1" showErrorMessage="1" xr:uid="{7EB34E62-87BE-4C01-87FF-807A314FFF08}">
          <x14:formula1>
            <xm:f>Sheet1!$P$12:$P$19</xm:f>
          </x14:formula1>
          <xm:sqref>B2:B20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8AAD-9730-49EF-A74A-24CE7C0125D1}">
  <dimension ref="A1:B88"/>
  <sheetViews>
    <sheetView topLeftCell="A57" workbookViewId="0">
      <selection activeCell="C63" sqref="C63"/>
    </sheetView>
  </sheetViews>
  <sheetFormatPr defaultRowHeight="14.4" x14ac:dyDescent="0.3"/>
  <cols>
    <col min="1" max="1" width="31.77734375" customWidth="1"/>
    <col min="2" max="5" width="27.21875" customWidth="1"/>
  </cols>
  <sheetData>
    <row r="1" spans="1:2" x14ac:dyDescent="0.3">
      <c r="A1" s="108" t="s">
        <v>18</v>
      </c>
      <c r="B1" s="123" t="s">
        <v>243</v>
      </c>
    </row>
    <row r="2" spans="1:2" x14ac:dyDescent="0.3">
      <c r="A2" s="124" t="s">
        <v>123</v>
      </c>
      <c r="B2" s="17" t="s">
        <v>264</v>
      </c>
    </row>
    <row r="3" spans="1:2" x14ac:dyDescent="0.3">
      <c r="A3" s="122" t="s">
        <v>87</v>
      </c>
      <c r="B3" s="50" t="s">
        <v>298</v>
      </c>
    </row>
    <row r="4" spans="1:2" x14ac:dyDescent="0.3">
      <c r="A4" s="124" t="s">
        <v>141</v>
      </c>
      <c r="B4" s="17" t="s">
        <v>283</v>
      </c>
    </row>
    <row r="5" spans="1:2" x14ac:dyDescent="0.3">
      <c r="A5" s="122" t="s">
        <v>148</v>
      </c>
      <c r="B5" s="50" t="s">
        <v>264</v>
      </c>
    </row>
    <row r="6" spans="1:2" x14ac:dyDescent="0.3">
      <c r="A6" s="124" t="s">
        <v>125</v>
      </c>
      <c r="B6" s="17" t="s">
        <v>263</v>
      </c>
    </row>
    <row r="7" spans="1:2" x14ac:dyDescent="0.3">
      <c r="A7" s="122" t="s">
        <v>131</v>
      </c>
      <c r="B7" s="50" t="s">
        <v>290</v>
      </c>
    </row>
    <row r="8" spans="1:2" x14ac:dyDescent="0.3">
      <c r="A8" s="124" t="s">
        <v>86</v>
      </c>
      <c r="B8" s="17" t="s">
        <v>295</v>
      </c>
    </row>
    <row r="9" spans="1:2" x14ac:dyDescent="0.3">
      <c r="A9" s="122" t="s">
        <v>133</v>
      </c>
      <c r="B9" s="50" t="s">
        <v>294</v>
      </c>
    </row>
    <row r="10" spans="1:2" x14ac:dyDescent="0.3">
      <c r="A10" s="124" t="s">
        <v>134</v>
      </c>
      <c r="B10" s="17" t="s">
        <v>264</v>
      </c>
    </row>
    <row r="11" spans="1:2" x14ac:dyDescent="0.3">
      <c r="A11" s="122" t="s">
        <v>108</v>
      </c>
      <c r="B11" s="50" t="s">
        <v>263</v>
      </c>
    </row>
    <row r="12" spans="1:2" x14ac:dyDescent="0.3">
      <c r="A12" s="124" t="s">
        <v>136</v>
      </c>
      <c r="B12" s="17" t="s">
        <v>300</v>
      </c>
    </row>
    <row r="13" spans="1:2" x14ac:dyDescent="0.3">
      <c r="A13" s="122" t="s">
        <v>124</v>
      </c>
      <c r="B13" s="50" t="s">
        <v>265</v>
      </c>
    </row>
    <row r="14" spans="1:2" x14ac:dyDescent="0.3">
      <c r="A14" s="124" t="s">
        <v>163</v>
      </c>
      <c r="B14" s="17" t="s">
        <v>293</v>
      </c>
    </row>
    <row r="15" spans="1:2" x14ac:dyDescent="0.3">
      <c r="A15" s="122" t="s">
        <v>172</v>
      </c>
      <c r="B15" s="50" t="s">
        <v>264</v>
      </c>
    </row>
    <row r="16" spans="1:2" x14ac:dyDescent="0.3">
      <c r="A16" s="124" t="s">
        <v>181</v>
      </c>
      <c r="B16" s="17" t="s">
        <v>290</v>
      </c>
    </row>
    <row r="17" spans="1:2" x14ac:dyDescent="0.3">
      <c r="A17" s="122" t="s">
        <v>182</v>
      </c>
      <c r="B17" s="50"/>
    </row>
    <row r="18" spans="1:2" x14ac:dyDescent="0.3">
      <c r="A18" s="124" t="s">
        <v>194</v>
      </c>
      <c r="B18" s="17" t="s">
        <v>290</v>
      </c>
    </row>
    <row r="19" spans="1:2" x14ac:dyDescent="0.3">
      <c r="A19" s="122" t="s">
        <v>201</v>
      </c>
      <c r="B19" s="50" t="s">
        <v>265</v>
      </c>
    </row>
    <row r="20" spans="1:2" x14ac:dyDescent="0.3">
      <c r="A20" s="124" t="s">
        <v>202</v>
      </c>
      <c r="B20" s="17" t="s">
        <v>288</v>
      </c>
    </row>
    <row r="21" spans="1:2" x14ac:dyDescent="0.3">
      <c r="A21" s="122" t="s">
        <v>205</v>
      </c>
      <c r="B21" s="50" t="s">
        <v>283</v>
      </c>
    </row>
    <row r="22" spans="1:2" x14ac:dyDescent="0.3">
      <c r="A22" s="124" t="s">
        <v>208</v>
      </c>
      <c r="B22" s="17" t="s">
        <v>295</v>
      </c>
    </row>
    <row r="23" spans="1:2" x14ac:dyDescent="0.3">
      <c r="A23" s="122" t="s">
        <v>209</v>
      </c>
      <c r="B23" s="50" t="s">
        <v>290</v>
      </c>
    </row>
    <row r="24" spans="1:2" x14ac:dyDescent="0.3">
      <c r="A24" s="124" t="s">
        <v>210</v>
      </c>
      <c r="B24" s="17"/>
    </row>
    <row r="25" spans="1:2" x14ac:dyDescent="0.3">
      <c r="A25" s="122" t="s">
        <v>212</v>
      </c>
      <c r="B25" s="50" t="s">
        <v>290</v>
      </c>
    </row>
    <row r="26" spans="1:2" x14ac:dyDescent="0.3">
      <c r="A26" s="124" t="s">
        <v>214</v>
      </c>
      <c r="B26" s="17" t="s">
        <v>263</v>
      </c>
    </row>
    <row r="27" spans="1:2" x14ac:dyDescent="0.3">
      <c r="A27" s="122" t="s">
        <v>215</v>
      </c>
      <c r="B27" s="50" t="s">
        <v>287</v>
      </c>
    </row>
    <row r="28" spans="1:2" x14ac:dyDescent="0.3">
      <c r="A28" s="124" t="s">
        <v>216</v>
      </c>
      <c r="B28" s="17" t="s">
        <v>295</v>
      </c>
    </row>
    <row r="29" spans="1:2" x14ac:dyDescent="0.3">
      <c r="A29" s="122" t="s">
        <v>217</v>
      </c>
      <c r="B29" s="50" t="s">
        <v>265</v>
      </c>
    </row>
    <row r="30" spans="1:2" x14ac:dyDescent="0.3">
      <c r="A30" s="124" t="s">
        <v>218</v>
      </c>
      <c r="B30" s="17" t="s">
        <v>290</v>
      </c>
    </row>
    <row r="31" spans="1:2" x14ac:dyDescent="0.3">
      <c r="A31" s="122" t="s">
        <v>220</v>
      </c>
      <c r="B31" s="50" t="s">
        <v>265</v>
      </c>
    </row>
    <row r="32" spans="1:2" x14ac:dyDescent="0.3">
      <c r="A32" s="124" t="s">
        <v>227</v>
      </c>
      <c r="B32" s="17" t="s">
        <v>370</v>
      </c>
    </row>
    <row r="33" spans="1:2" x14ac:dyDescent="0.3">
      <c r="A33" s="122" t="s">
        <v>234</v>
      </c>
      <c r="B33" s="50" t="s">
        <v>246</v>
      </c>
    </row>
    <row r="34" spans="1:2" x14ac:dyDescent="0.3">
      <c r="A34" s="124" t="s">
        <v>237</v>
      </c>
      <c r="B34" s="17" t="s">
        <v>244</v>
      </c>
    </row>
    <row r="35" spans="1:2" x14ac:dyDescent="0.3">
      <c r="A35" s="122" t="s">
        <v>239</v>
      </c>
      <c r="B35" s="50" t="s">
        <v>290</v>
      </c>
    </row>
    <row r="36" spans="1:2" x14ac:dyDescent="0.3">
      <c r="A36" s="124" t="s">
        <v>240</v>
      </c>
      <c r="B36" s="17" t="s">
        <v>290</v>
      </c>
    </row>
    <row r="37" spans="1:2" x14ac:dyDescent="0.3">
      <c r="A37" s="122" t="s">
        <v>247</v>
      </c>
      <c r="B37" s="50" t="s">
        <v>259</v>
      </c>
    </row>
    <row r="38" spans="1:2" x14ac:dyDescent="0.3">
      <c r="A38" s="124" t="s">
        <v>248</v>
      </c>
      <c r="B38" s="17" t="s">
        <v>263</v>
      </c>
    </row>
    <row r="39" spans="1:2" x14ac:dyDescent="0.3">
      <c r="A39" s="122" t="s">
        <v>249</v>
      </c>
      <c r="B39" s="50" t="s">
        <v>264</v>
      </c>
    </row>
    <row r="40" spans="1:2" x14ac:dyDescent="0.3">
      <c r="A40" s="124" t="s">
        <v>250</v>
      </c>
      <c r="B40" s="17" t="s">
        <v>265</v>
      </c>
    </row>
    <row r="41" spans="1:2" x14ac:dyDescent="0.3">
      <c r="A41" s="122" t="s">
        <v>258</v>
      </c>
      <c r="B41" s="50" t="s">
        <v>290</v>
      </c>
    </row>
    <row r="42" spans="1:2" x14ac:dyDescent="0.3">
      <c r="A42" s="124" t="s">
        <v>251</v>
      </c>
      <c r="B42" s="17" t="s">
        <v>259</v>
      </c>
    </row>
    <row r="43" spans="1:2" x14ac:dyDescent="0.3">
      <c r="A43" s="122" t="s">
        <v>301</v>
      </c>
      <c r="B43" s="50" t="s">
        <v>264</v>
      </c>
    </row>
    <row r="44" spans="1:2" x14ac:dyDescent="0.3">
      <c r="A44" s="124" t="s">
        <v>252</v>
      </c>
      <c r="B44" s="17" t="s">
        <v>266</v>
      </c>
    </row>
    <row r="45" spans="1:2" x14ac:dyDescent="0.3">
      <c r="A45" s="122" t="s">
        <v>253</v>
      </c>
      <c r="B45" s="50" t="s">
        <v>267</v>
      </c>
    </row>
    <row r="46" spans="1:2" x14ac:dyDescent="0.3">
      <c r="A46" s="124" t="s">
        <v>254</v>
      </c>
      <c r="B46" s="17" t="s">
        <v>268</v>
      </c>
    </row>
    <row r="47" spans="1:2" x14ac:dyDescent="0.3">
      <c r="A47" s="122" t="s">
        <v>255</v>
      </c>
      <c r="B47" s="50" t="s">
        <v>290</v>
      </c>
    </row>
    <row r="48" spans="1:2" x14ac:dyDescent="0.3">
      <c r="A48" s="124" t="s">
        <v>261</v>
      </c>
      <c r="B48" s="17" t="s">
        <v>246</v>
      </c>
    </row>
    <row r="49" spans="1:2" x14ac:dyDescent="0.3">
      <c r="A49" s="122" t="s">
        <v>256</v>
      </c>
      <c r="B49" s="50" t="s">
        <v>290</v>
      </c>
    </row>
    <row r="50" spans="1:2" x14ac:dyDescent="0.3">
      <c r="A50" s="124" t="s">
        <v>257</v>
      </c>
      <c r="B50" s="17" t="s">
        <v>263</v>
      </c>
    </row>
    <row r="51" spans="1:2" x14ac:dyDescent="0.3">
      <c r="A51" s="122" t="s">
        <v>235</v>
      </c>
      <c r="B51" s="50" t="s">
        <v>281</v>
      </c>
    </row>
    <row r="52" spans="1:2" x14ac:dyDescent="0.3">
      <c r="A52" s="124" t="s">
        <v>270</v>
      </c>
      <c r="B52" s="17" t="s">
        <v>282</v>
      </c>
    </row>
    <row r="53" spans="1:2" x14ac:dyDescent="0.3">
      <c r="A53" s="122" t="s">
        <v>271</v>
      </c>
      <c r="B53" s="50" t="s">
        <v>283</v>
      </c>
    </row>
    <row r="54" spans="1:2" x14ac:dyDescent="0.3">
      <c r="A54" s="124" t="s">
        <v>272</v>
      </c>
      <c r="B54" s="17" t="s">
        <v>265</v>
      </c>
    </row>
    <row r="55" spans="1:2" x14ac:dyDescent="0.3">
      <c r="A55" s="122" t="s">
        <v>273</v>
      </c>
      <c r="B55" s="50" t="s">
        <v>290</v>
      </c>
    </row>
    <row r="56" spans="1:2" x14ac:dyDescent="0.3">
      <c r="A56" s="124" t="s">
        <v>274</v>
      </c>
      <c r="B56" s="17" t="s">
        <v>285</v>
      </c>
    </row>
    <row r="57" spans="1:2" x14ac:dyDescent="0.3">
      <c r="A57" s="122" t="s">
        <v>280</v>
      </c>
      <c r="B57" s="50" t="s">
        <v>282</v>
      </c>
    </row>
    <row r="58" spans="1:2" x14ac:dyDescent="0.3">
      <c r="A58" s="124" t="s">
        <v>277</v>
      </c>
      <c r="B58" s="17" t="s">
        <v>287</v>
      </c>
    </row>
    <row r="59" spans="1:2" x14ac:dyDescent="0.3">
      <c r="A59" s="122" t="s">
        <v>302</v>
      </c>
      <c r="B59" s="50" t="s">
        <v>288</v>
      </c>
    </row>
    <row r="60" spans="1:2" x14ac:dyDescent="0.3">
      <c r="A60" s="124" t="s">
        <v>276</v>
      </c>
      <c r="B60" s="17" t="s">
        <v>245</v>
      </c>
    </row>
    <row r="61" spans="1:2" x14ac:dyDescent="0.3">
      <c r="A61" s="122" t="s">
        <v>278</v>
      </c>
      <c r="B61" s="50" t="s">
        <v>283</v>
      </c>
    </row>
    <row r="62" spans="1:2" x14ac:dyDescent="0.3">
      <c r="A62" s="124" t="s">
        <v>279</v>
      </c>
      <c r="B62" s="17" t="s">
        <v>289</v>
      </c>
    </row>
    <row r="63" spans="1:2" x14ac:dyDescent="0.3">
      <c r="A63" s="122" t="s">
        <v>291</v>
      </c>
      <c r="B63" s="50" t="s">
        <v>262</v>
      </c>
    </row>
    <row r="64" spans="1:2" x14ac:dyDescent="0.3">
      <c r="A64" s="124" t="s">
        <v>292</v>
      </c>
      <c r="B64" s="17" t="s">
        <v>288</v>
      </c>
    </row>
    <row r="65" spans="1:2" x14ac:dyDescent="0.3">
      <c r="A65" s="122" t="s">
        <v>327</v>
      </c>
      <c r="B65" s="50" t="s">
        <v>290</v>
      </c>
    </row>
    <row r="66" spans="1:2" x14ac:dyDescent="0.3">
      <c r="A66" s="124" t="s">
        <v>328</v>
      </c>
      <c r="B66" s="17" t="s">
        <v>265</v>
      </c>
    </row>
    <row r="67" spans="1:2" x14ac:dyDescent="0.3">
      <c r="A67" s="122" t="s">
        <v>329</v>
      </c>
      <c r="B67" s="50" t="s">
        <v>290</v>
      </c>
    </row>
    <row r="68" spans="1:2" x14ac:dyDescent="0.3">
      <c r="A68" s="124" t="s">
        <v>332</v>
      </c>
      <c r="B68" s="17" t="s">
        <v>372</v>
      </c>
    </row>
    <row r="69" spans="1:2" x14ac:dyDescent="0.3">
      <c r="A69" s="122" t="s">
        <v>333</v>
      </c>
      <c r="B69" s="50" t="s">
        <v>259</v>
      </c>
    </row>
    <row r="70" spans="1:2" x14ac:dyDescent="0.3">
      <c r="A70" s="124" t="s">
        <v>334</v>
      </c>
      <c r="B70" s="17" t="s">
        <v>287</v>
      </c>
    </row>
    <row r="71" spans="1:2" x14ac:dyDescent="0.3">
      <c r="A71" s="122" t="s">
        <v>337</v>
      </c>
      <c r="B71" s="50" t="s">
        <v>290</v>
      </c>
    </row>
    <row r="72" spans="1:2" x14ac:dyDescent="0.3">
      <c r="A72" s="124" t="s">
        <v>338</v>
      </c>
      <c r="B72" s="17" t="s">
        <v>287</v>
      </c>
    </row>
    <row r="73" spans="1:2" x14ac:dyDescent="0.3">
      <c r="A73" s="122" t="s">
        <v>339</v>
      </c>
      <c r="B73" s="50" t="s">
        <v>290</v>
      </c>
    </row>
    <row r="74" spans="1:2" x14ac:dyDescent="0.3">
      <c r="A74" s="124" t="s">
        <v>340</v>
      </c>
      <c r="B74" s="17" t="s">
        <v>392</v>
      </c>
    </row>
    <row r="75" spans="1:2" x14ac:dyDescent="0.3">
      <c r="A75" s="122" t="s">
        <v>341</v>
      </c>
      <c r="B75" s="50" t="s">
        <v>290</v>
      </c>
    </row>
    <row r="76" spans="1:2" x14ac:dyDescent="0.3">
      <c r="A76" s="124" t="s">
        <v>343</v>
      </c>
      <c r="B76" s="17" t="s">
        <v>374</v>
      </c>
    </row>
    <row r="77" spans="1:2" x14ac:dyDescent="0.3">
      <c r="A77" s="122" t="s">
        <v>344</v>
      </c>
      <c r="B77" s="50" t="s">
        <v>299</v>
      </c>
    </row>
    <row r="78" spans="1:2" x14ac:dyDescent="0.3">
      <c r="A78" s="124" t="s">
        <v>351</v>
      </c>
      <c r="B78" s="17" t="s">
        <v>283</v>
      </c>
    </row>
    <row r="79" spans="1:2" x14ac:dyDescent="0.3">
      <c r="A79" s="122" t="s">
        <v>352</v>
      </c>
      <c r="B79" s="50" t="s">
        <v>373</v>
      </c>
    </row>
    <row r="80" spans="1:2" x14ac:dyDescent="0.3">
      <c r="A80" s="124" t="s">
        <v>353</v>
      </c>
      <c r="B80" s="17" t="s">
        <v>371</v>
      </c>
    </row>
    <row r="81" spans="1:2" x14ac:dyDescent="0.3">
      <c r="A81" s="122" t="s">
        <v>354</v>
      </c>
      <c r="B81" s="50" t="s">
        <v>297</v>
      </c>
    </row>
    <row r="82" spans="1:2" x14ac:dyDescent="0.3">
      <c r="A82" s="124" t="s">
        <v>355</v>
      </c>
      <c r="B82" s="17" t="s">
        <v>288</v>
      </c>
    </row>
    <row r="83" spans="1:2" x14ac:dyDescent="0.3">
      <c r="A83" s="122" t="s">
        <v>357</v>
      </c>
      <c r="B83" s="50" t="s">
        <v>373</v>
      </c>
    </row>
    <row r="84" spans="1:2" x14ac:dyDescent="0.3">
      <c r="A84" s="124" t="s">
        <v>358</v>
      </c>
      <c r="B84" s="17" t="s">
        <v>372</v>
      </c>
    </row>
    <row r="85" spans="1:2" x14ac:dyDescent="0.3">
      <c r="A85" s="122" t="s">
        <v>359</v>
      </c>
      <c r="B85" s="50" t="s">
        <v>392</v>
      </c>
    </row>
    <row r="86" spans="1:2" x14ac:dyDescent="0.3">
      <c r="A86" s="124" t="s">
        <v>360</v>
      </c>
      <c r="B86" s="17" t="s">
        <v>374</v>
      </c>
    </row>
    <row r="87" spans="1:2" x14ac:dyDescent="0.3">
      <c r="A87" s="122" t="s">
        <v>368</v>
      </c>
      <c r="B87" s="50" t="s">
        <v>266</v>
      </c>
    </row>
    <row r="88" spans="1:2" x14ac:dyDescent="0.3">
      <c r="A88" s="125" t="s">
        <v>375</v>
      </c>
      <c r="B88" s="126"/>
    </row>
  </sheetData>
  <conditionalFormatting sqref="A1:A88">
    <cfRule type="duplicateValues" dxfId="150" priority="72"/>
    <cfRule type="duplicateValues" dxfId="149" priority="73"/>
  </conditionalFormatting>
  <conditionalFormatting sqref="A2:A7">
    <cfRule type="duplicateValues" dxfId="148" priority="69"/>
  </conditionalFormatting>
  <conditionalFormatting sqref="A2:A88">
    <cfRule type="duplicateValues" dxfId="147" priority="71"/>
    <cfRule type="duplicateValues" dxfId="146" priority="70"/>
  </conditionalFormatting>
  <conditionalFormatting sqref="A3:A88">
    <cfRule type="duplicateValues" dxfId="145" priority="68"/>
  </conditionalFormatting>
  <conditionalFormatting sqref="A14">
    <cfRule type="duplicateValues" dxfId="144" priority="67"/>
  </conditionalFormatting>
  <conditionalFormatting sqref="A14:A20">
    <cfRule type="duplicateValues" dxfId="143" priority="66"/>
  </conditionalFormatting>
  <conditionalFormatting sqref="A15">
    <cfRule type="duplicateValues" dxfId="142" priority="65"/>
  </conditionalFormatting>
  <conditionalFormatting sqref="A16:A18">
    <cfRule type="duplicateValues" dxfId="141" priority="64"/>
  </conditionalFormatting>
  <conditionalFormatting sqref="A16:A31">
    <cfRule type="duplicateValues" dxfId="140" priority="63"/>
    <cfRule type="duplicateValues" dxfId="139" priority="62"/>
  </conditionalFormatting>
  <conditionalFormatting sqref="A23">
    <cfRule type="duplicateValues" dxfId="138" priority="60"/>
    <cfRule type="duplicateValues" dxfId="137" priority="59"/>
    <cfRule type="duplicateValues" dxfId="136" priority="58"/>
  </conditionalFormatting>
  <conditionalFormatting sqref="A25:A32">
    <cfRule type="duplicateValues" dxfId="135" priority="61"/>
  </conditionalFormatting>
  <conditionalFormatting sqref="A28">
    <cfRule type="duplicateValues" dxfId="134" priority="50"/>
    <cfRule type="duplicateValues" dxfId="133" priority="49"/>
    <cfRule type="duplicateValues" dxfId="132" priority="53"/>
    <cfRule type="duplicateValues" dxfId="131" priority="52"/>
    <cfRule type="duplicateValues" dxfId="130" priority="51"/>
  </conditionalFormatting>
  <conditionalFormatting sqref="A31">
    <cfRule type="duplicateValues" dxfId="129" priority="55"/>
    <cfRule type="duplicateValues" dxfId="128" priority="56"/>
    <cfRule type="duplicateValues" dxfId="127" priority="54"/>
  </conditionalFormatting>
  <conditionalFormatting sqref="A31:A32">
    <cfRule type="duplicateValues" dxfId="126" priority="57"/>
  </conditionalFormatting>
  <conditionalFormatting sqref="A32">
    <cfRule type="duplicateValues" dxfId="125" priority="47"/>
    <cfRule type="duplicateValues" dxfId="124" priority="48"/>
    <cfRule type="duplicateValues" dxfId="123" priority="37"/>
    <cfRule type="duplicateValues" dxfId="122" priority="29"/>
    <cfRule type="duplicateValues" dxfId="121" priority="30"/>
    <cfRule type="duplicateValues" dxfId="120" priority="31"/>
    <cfRule type="duplicateValues" dxfId="119" priority="32"/>
    <cfRule type="duplicateValues" dxfId="118" priority="33"/>
    <cfRule type="duplicateValues" dxfId="117" priority="34"/>
    <cfRule type="duplicateValues" dxfId="116" priority="35"/>
    <cfRule type="duplicateValues" dxfId="115" priority="36"/>
    <cfRule type="duplicateValues" dxfId="114" priority="46"/>
    <cfRule type="duplicateValues" dxfId="113" priority="38"/>
    <cfRule type="duplicateValues" dxfId="112" priority="39"/>
    <cfRule type="duplicateValues" dxfId="111" priority="40"/>
    <cfRule type="duplicateValues" dxfId="110" priority="41"/>
    <cfRule type="duplicateValues" dxfId="109" priority="42"/>
    <cfRule type="duplicateValues" dxfId="108" priority="43"/>
    <cfRule type="duplicateValues" dxfId="107" priority="44"/>
    <cfRule type="duplicateValues" dxfId="106" priority="45"/>
  </conditionalFormatting>
  <conditionalFormatting sqref="A34">
    <cfRule type="duplicateValues" dxfId="105" priority="19"/>
    <cfRule type="duplicateValues" dxfId="104" priority="28"/>
    <cfRule type="duplicateValues" dxfId="103" priority="27"/>
    <cfRule type="duplicateValues" dxfId="102" priority="26"/>
    <cfRule type="duplicateValues" dxfId="101" priority="25"/>
    <cfRule type="duplicateValues" dxfId="100" priority="24"/>
    <cfRule type="duplicateValues" dxfId="99" priority="23"/>
    <cfRule type="duplicateValues" dxfId="98" priority="22"/>
    <cfRule type="duplicateValues" dxfId="97" priority="21"/>
    <cfRule type="duplicateValues" dxfId="96" priority="20"/>
    <cfRule type="duplicateValues" dxfId="95" priority="18"/>
    <cfRule type="duplicateValues" dxfId="94" priority="17"/>
    <cfRule type="duplicateValues" dxfId="93" priority="16"/>
    <cfRule type="duplicateValues" dxfId="92" priority="15"/>
  </conditionalFormatting>
  <conditionalFormatting sqref="A73:A84">
    <cfRule type="duplicateValues" dxfId="91" priority="14"/>
    <cfRule type="duplicateValues" dxfId="90" priority="13"/>
  </conditionalFormatting>
  <conditionalFormatting sqref="A83">
    <cfRule type="duplicateValues" dxfId="89" priority="12"/>
    <cfRule type="duplicateValues" dxfId="88" priority="11"/>
  </conditionalFormatting>
  <conditionalFormatting sqref="A84:A86">
    <cfRule type="duplicateValues" dxfId="87" priority="10"/>
    <cfRule type="duplicateValues" dxfId="86" priority="9"/>
  </conditionalFormatting>
  <conditionalFormatting sqref="A87">
    <cfRule type="duplicateValues" dxfId="85" priority="2"/>
    <cfRule type="duplicateValues" dxfId="84" priority="1"/>
    <cfRule type="duplicateValues" dxfId="83" priority="8"/>
    <cfRule type="duplicateValues" dxfId="82" priority="7"/>
    <cfRule type="duplicateValues" dxfId="81" priority="6"/>
    <cfRule type="duplicateValues" dxfId="80" priority="5"/>
    <cfRule type="duplicateValues" dxfId="79" priority="4"/>
    <cfRule type="duplicateValues" dxfId="78" priority="3"/>
  </conditionalFormatting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4EB0-D19F-4847-83D7-F833DD646B04}">
  <dimension ref="A1:J40"/>
  <sheetViews>
    <sheetView workbookViewId="0">
      <selection sqref="A1:J13"/>
    </sheetView>
  </sheetViews>
  <sheetFormatPr defaultRowHeight="14.4" x14ac:dyDescent="0.3"/>
  <cols>
    <col min="1" max="1" width="30.6640625" customWidth="1"/>
    <col min="8" max="8" width="16.21875" customWidth="1"/>
    <col min="10" max="10" width="26.44140625" customWidth="1"/>
  </cols>
  <sheetData>
    <row r="1" spans="1:10" x14ac:dyDescent="0.3">
      <c r="A1" s="108" t="s">
        <v>18</v>
      </c>
      <c r="B1" s="136" t="s">
        <v>185</v>
      </c>
      <c r="C1" s="123" t="s">
        <v>376</v>
      </c>
      <c r="D1" s="137" t="s">
        <v>19</v>
      </c>
      <c r="E1" s="123" t="s">
        <v>228</v>
      </c>
      <c r="F1" s="123" t="s">
        <v>243</v>
      </c>
      <c r="G1" s="138" t="s">
        <v>46</v>
      </c>
      <c r="H1" s="138" t="s">
        <v>84</v>
      </c>
      <c r="I1" s="138" t="s">
        <v>99</v>
      </c>
      <c r="J1" s="138" t="s">
        <v>140</v>
      </c>
    </row>
    <row r="2" spans="1:10" x14ac:dyDescent="0.3">
      <c r="A2" s="122" t="s">
        <v>138</v>
      </c>
      <c r="B2" s="50" t="s">
        <v>174</v>
      </c>
      <c r="C2" s="50" t="s">
        <v>364</v>
      </c>
      <c r="D2" s="50" t="s">
        <v>33</v>
      </c>
      <c r="E2" s="50" t="s">
        <v>231</v>
      </c>
      <c r="F2" s="50" t="s">
        <v>262</v>
      </c>
      <c r="G2" s="43" t="s">
        <v>178</v>
      </c>
      <c r="H2" s="46" t="s">
        <v>90</v>
      </c>
      <c r="I2" s="46" t="s">
        <v>95</v>
      </c>
      <c r="J2" s="46" t="s">
        <v>394</v>
      </c>
    </row>
    <row r="3" spans="1:10" x14ac:dyDescent="0.3">
      <c r="A3" s="124" t="s">
        <v>135</v>
      </c>
      <c r="B3" s="17" t="s">
        <v>186</v>
      </c>
      <c r="C3" s="17" t="s">
        <v>364</v>
      </c>
      <c r="D3" s="17" t="s">
        <v>33</v>
      </c>
      <c r="E3" s="17" t="s">
        <v>230</v>
      </c>
      <c r="F3" s="17" t="s">
        <v>297</v>
      </c>
      <c r="G3" s="17" t="s">
        <v>178</v>
      </c>
      <c r="H3" s="140" t="s">
        <v>91</v>
      </c>
      <c r="I3" s="140" t="s">
        <v>95</v>
      </c>
      <c r="J3" s="140" t="s">
        <v>394</v>
      </c>
    </row>
    <row r="4" spans="1:10" x14ac:dyDescent="0.3">
      <c r="A4" s="122" t="s">
        <v>128</v>
      </c>
      <c r="B4" s="50" t="s">
        <v>186</v>
      </c>
      <c r="C4" s="50" t="s">
        <v>364</v>
      </c>
      <c r="D4" s="50" t="s">
        <v>40</v>
      </c>
      <c r="E4" s="50" t="s">
        <v>231</v>
      </c>
      <c r="F4" s="50" t="s">
        <v>296</v>
      </c>
      <c r="G4" s="50" t="s">
        <v>378</v>
      </c>
      <c r="H4" s="46" t="s">
        <v>90</v>
      </c>
      <c r="I4" s="46" t="s">
        <v>95</v>
      </c>
      <c r="J4" s="46" t="s">
        <v>394</v>
      </c>
    </row>
    <row r="5" spans="1:10" x14ac:dyDescent="0.3">
      <c r="A5" s="139" t="s">
        <v>79</v>
      </c>
      <c r="B5" s="17" t="s">
        <v>186</v>
      </c>
      <c r="C5" s="17" t="s">
        <v>364</v>
      </c>
      <c r="D5" s="17" t="s">
        <v>40</v>
      </c>
      <c r="E5" s="17" t="s">
        <v>230</v>
      </c>
      <c r="F5" s="17"/>
      <c r="G5" s="17" t="s">
        <v>178</v>
      </c>
      <c r="H5" s="140" t="s">
        <v>90</v>
      </c>
      <c r="I5" s="140" t="s">
        <v>92</v>
      </c>
      <c r="J5" s="140" t="s">
        <v>160</v>
      </c>
    </row>
    <row r="6" spans="1:10" x14ac:dyDescent="0.3">
      <c r="A6" s="122" t="s">
        <v>126</v>
      </c>
      <c r="B6" s="50" t="s">
        <v>174</v>
      </c>
      <c r="C6" s="50" t="s">
        <v>364</v>
      </c>
      <c r="D6" s="50" t="s">
        <v>40</v>
      </c>
      <c r="E6" s="50" t="s">
        <v>230</v>
      </c>
      <c r="F6" s="50" t="s">
        <v>297</v>
      </c>
      <c r="G6" s="50" t="s">
        <v>157</v>
      </c>
      <c r="H6" s="46" t="s">
        <v>90</v>
      </c>
      <c r="I6" s="46" t="s">
        <v>95</v>
      </c>
      <c r="J6" s="46" t="s">
        <v>394</v>
      </c>
    </row>
    <row r="7" spans="1:10" x14ac:dyDescent="0.3">
      <c r="A7" s="124" t="s">
        <v>122</v>
      </c>
      <c r="B7" s="17" t="s">
        <v>186</v>
      </c>
      <c r="C7" s="17" t="s">
        <v>364</v>
      </c>
      <c r="D7" s="17" t="s">
        <v>40</v>
      </c>
      <c r="E7" s="17" t="s">
        <v>231</v>
      </c>
      <c r="F7" s="17" t="s">
        <v>287</v>
      </c>
      <c r="G7" s="17" t="s">
        <v>47</v>
      </c>
      <c r="H7" s="140" t="s">
        <v>90</v>
      </c>
      <c r="I7" s="140" t="s">
        <v>95</v>
      </c>
      <c r="J7" s="140" t="s">
        <v>394</v>
      </c>
    </row>
    <row r="8" spans="1:10" x14ac:dyDescent="0.3">
      <c r="A8" s="122" t="s">
        <v>127</v>
      </c>
      <c r="B8" s="50" t="s">
        <v>186</v>
      </c>
      <c r="C8" s="50" t="s">
        <v>364</v>
      </c>
      <c r="D8" s="50" t="s">
        <v>40</v>
      </c>
      <c r="E8" s="50" t="s">
        <v>230</v>
      </c>
      <c r="F8" s="50" t="s">
        <v>264</v>
      </c>
      <c r="G8" s="50" t="s">
        <v>378</v>
      </c>
      <c r="H8" s="46" t="s">
        <v>90</v>
      </c>
      <c r="I8" s="46" t="s">
        <v>95</v>
      </c>
      <c r="J8" s="46" t="s">
        <v>394</v>
      </c>
    </row>
    <row r="9" spans="1:10" x14ac:dyDescent="0.3">
      <c r="A9" s="124" t="s">
        <v>130</v>
      </c>
      <c r="B9" s="17" t="s">
        <v>174</v>
      </c>
      <c r="C9" s="17" t="s">
        <v>364</v>
      </c>
      <c r="D9" s="17" t="s">
        <v>63</v>
      </c>
      <c r="E9" s="17" t="s">
        <v>231</v>
      </c>
      <c r="F9" s="17" t="s">
        <v>296</v>
      </c>
      <c r="G9" s="17" t="s">
        <v>178</v>
      </c>
      <c r="H9" s="140" t="s">
        <v>90</v>
      </c>
      <c r="I9" s="140" t="s">
        <v>95</v>
      </c>
      <c r="J9" s="140" t="s">
        <v>394</v>
      </c>
    </row>
    <row r="10" spans="1:10" x14ac:dyDescent="0.3">
      <c r="A10" s="124" t="s">
        <v>129</v>
      </c>
      <c r="B10" s="17" t="s">
        <v>186</v>
      </c>
      <c r="C10" s="17" t="s">
        <v>364</v>
      </c>
      <c r="D10" s="17" t="s">
        <v>33</v>
      </c>
      <c r="E10" s="17" t="s">
        <v>231</v>
      </c>
      <c r="F10" s="17" t="s">
        <v>294</v>
      </c>
      <c r="G10" s="17" t="s">
        <v>178</v>
      </c>
      <c r="H10" s="140" t="s">
        <v>91</v>
      </c>
      <c r="I10" s="140" t="s">
        <v>95</v>
      </c>
      <c r="J10" s="140" t="s">
        <v>394</v>
      </c>
    </row>
    <row r="11" spans="1:10" x14ac:dyDescent="0.3">
      <c r="A11" s="139" t="s">
        <v>2</v>
      </c>
      <c r="B11" s="17" t="s">
        <v>186</v>
      </c>
      <c r="C11" s="17" t="s">
        <v>363</v>
      </c>
      <c r="D11" s="17" t="s">
        <v>63</v>
      </c>
      <c r="E11" s="17"/>
      <c r="F11" s="17"/>
      <c r="G11" s="17" t="s">
        <v>47</v>
      </c>
      <c r="H11" s="140" t="s">
        <v>90</v>
      </c>
      <c r="I11" s="140" t="s">
        <v>96</v>
      </c>
      <c r="J11" s="140" t="s">
        <v>160</v>
      </c>
    </row>
    <row r="12" spans="1:10" x14ac:dyDescent="0.3">
      <c r="A12" s="122" t="s">
        <v>121</v>
      </c>
      <c r="B12" s="49" t="s">
        <v>186</v>
      </c>
      <c r="C12" s="50" t="s">
        <v>364</v>
      </c>
      <c r="D12" s="50" t="s">
        <v>40</v>
      </c>
      <c r="E12" s="50" t="s">
        <v>230</v>
      </c>
      <c r="F12" s="50" t="s">
        <v>299</v>
      </c>
      <c r="G12" s="50" t="s">
        <v>378</v>
      </c>
      <c r="H12" s="46" t="s">
        <v>90</v>
      </c>
      <c r="I12" s="46" t="s">
        <v>95</v>
      </c>
      <c r="J12" s="46" t="s">
        <v>394</v>
      </c>
    </row>
    <row r="13" spans="1:10" x14ac:dyDescent="0.3">
      <c r="A13" s="124" t="s">
        <v>137</v>
      </c>
      <c r="B13" s="110" t="s">
        <v>186</v>
      </c>
      <c r="C13" s="17" t="s">
        <v>364</v>
      </c>
      <c r="D13" s="17" t="s">
        <v>40</v>
      </c>
      <c r="E13" s="17" t="s">
        <v>230</v>
      </c>
      <c r="F13" s="17" t="s">
        <v>299</v>
      </c>
      <c r="G13" s="17" t="s">
        <v>157</v>
      </c>
      <c r="H13" s="140" t="s">
        <v>90</v>
      </c>
      <c r="I13" s="140" t="s">
        <v>95</v>
      </c>
      <c r="J13" s="140" t="s">
        <v>394</v>
      </c>
    </row>
    <row r="14" spans="1:10" x14ac:dyDescent="0.3">
      <c r="A14" s="124" t="s">
        <v>120</v>
      </c>
      <c r="B14" s="110" t="s">
        <v>174</v>
      </c>
      <c r="C14" s="17" t="s">
        <v>364</v>
      </c>
      <c r="D14" s="17" t="s">
        <v>158</v>
      </c>
      <c r="E14" s="17" t="s">
        <v>230</v>
      </c>
      <c r="F14" s="17"/>
      <c r="G14" s="17" t="s">
        <v>369</v>
      </c>
      <c r="H14" s="140" t="s">
        <v>90</v>
      </c>
      <c r="I14" s="140" t="s">
        <v>95</v>
      </c>
      <c r="J14" s="140" t="s">
        <v>394</v>
      </c>
    </row>
    <row r="15" spans="1:10" x14ac:dyDescent="0.3">
      <c r="A15" s="139" t="s">
        <v>161</v>
      </c>
      <c r="B15" s="110" t="s">
        <v>186</v>
      </c>
      <c r="C15" s="17" t="s">
        <v>364</v>
      </c>
      <c r="D15" s="110" t="s">
        <v>158</v>
      </c>
      <c r="E15" s="17" t="s">
        <v>232</v>
      </c>
      <c r="F15" s="17"/>
      <c r="G15" s="17" t="s">
        <v>369</v>
      </c>
      <c r="H15" s="140" t="s">
        <v>90</v>
      </c>
      <c r="I15" s="140" t="s">
        <v>92</v>
      </c>
      <c r="J15" s="140" t="s">
        <v>160</v>
      </c>
    </row>
    <row r="16" spans="1:10" x14ac:dyDescent="0.3">
      <c r="A16" s="139" t="s">
        <v>165</v>
      </c>
      <c r="B16" s="110" t="s">
        <v>174</v>
      </c>
      <c r="C16" s="17" t="s">
        <v>363</v>
      </c>
      <c r="D16" s="17" t="s">
        <v>40</v>
      </c>
      <c r="E16" s="17" t="s">
        <v>230</v>
      </c>
      <c r="F16" s="17"/>
      <c r="G16" s="17" t="s">
        <v>178</v>
      </c>
      <c r="H16" s="140" t="s">
        <v>90</v>
      </c>
      <c r="I16" s="140" t="s">
        <v>92</v>
      </c>
      <c r="J16" s="140" t="s">
        <v>160</v>
      </c>
    </row>
    <row r="17" spans="1:10" x14ac:dyDescent="0.3">
      <c r="A17" s="141" t="s">
        <v>166</v>
      </c>
      <c r="B17" s="49" t="s">
        <v>186</v>
      </c>
      <c r="C17" s="50" t="s">
        <v>363</v>
      </c>
      <c r="D17" s="50" t="s">
        <v>40</v>
      </c>
      <c r="E17" s="50" t="s">
        <v>230</v>
      </c>
      <c r="F17" s="50"/>
      <c r="G17" s="50" t="s">
        <v>178</v>
      </c>
      <c r="H17" s="46" t="s">
        <v>90</v>
      </c>
      <c r="I17" s="46" t="s">
        <v>92</v>
      </c>
      <c r="J17" s="46" t="s">
        <v>160</v>
      </c>
    </row>
    <row r="18" spans="1:10" x14ac:dyDescent="0.3">
      <c r="A18" s="141" t="s">
        <v>173</v>
      </c>
      <c r="B18" s="49" t="s">
        <v>186</v>
      </c>
      <c r="C18" s="50" t="s">
        <v>363</v>
      </c>
      <c r="D18" s="50" t="s">
        <v>40</v>
      </c>
      <c r="E18" s="50" t="s">
        <v>230</v>
      </c>
      <c r="F18" s="50"/>
      <c r="G18" s="50" t="s">
        <v>309</v>
      </c>
      <c r="H18" s="46" t="s">
        <v>90</v>
      </c>
      <c r="I18" s="46" t="s">
        <v>93</v>
      </c>
      <c r="J18" s="46" t="s">
        <v>160</v>
      </c>
    </row>
    <row r="19" spans="1:10" x14ac:dyDescent="0.3">
      <c r="A19" s="124" t="s">
        <v>189</v>
      </c>
      <c r="B19" s="110" t="s">
        <v>174</v>
      </c>
      <c r="C19" s="17" t="s">
        <v>363</v>
      </c>
      <c r="D19" s="17" t="s">
        <v>183</v>
      </c>
      <c r="E19" s="17" t="s">
        <v>230</v>
      </c>
      <c r="F19" s="17"/>
      <c r="G19" s="17" t="s">
        <v>369</v>
      </c>
      <c r="H19" s="140" t="s">
        <v>90</v>
      </c>
      <c r="I19" s="140" t="s">
        <v>92</v>
      </c>
      <c r="J19" s="140" t="s">
        <v>394</v>
      </c>
    </row>
    <row r="20" spans="1:10" x14ac:dyDescent="0.3">
      <c r="A20" s="141" t="s">
        <v>190</v>
      </c>
      <c r="B20" s="49" t="s">
        <v>186</v>
      </c>
      <c r="C20" s="50" t="s">
        <v>363</v>
      </c>
      <c r="D20" s="50" t="s">
        <v>40</v>
      </c>
      <c r="E20" s="50" t="s">
        <v>230</v>
      </c>
      <c r="F20" s="50"/>
      <c r="G20" s="50" t="s">
        <v>178</v>
      </c>
      <c r="H20" s="46" t="s">
        <v>90</v>
      </c>
      <c r="I20" s="46" t="s">
        <v>92</v>
      </c>
      <c r="J20" s="46" t="s">
        <v>160</v>
      </c>
    </row>
    <row r="21" spans="1:10" x14ac:dyDescent="0.3">
      <c r="A21" s="139" t="s">
        <v>191</v>
      </c>
      <c r="B21" s="110" t="s">
        <v>186</v>
      </c>
      <c r="C21" s="17" t="s">
        <v>363</v>
      </c>
      <c r="D21" s="17" t="s">
        <v>40</v>
      </c>
      <c r="E21" s="17" t="s">
        <v>230</v>
      </c>
      <c r="F21" s="17" t="s">
        <v>283</v>
      </c>
      <c r="G21" s="17" t="s">
        <v>178</v>
      </c>
      <c r="H21" s="140" t="s">
        <v>90</v>
      </c>
      <c r="I21" s="140" t="s">
        <v>92</v>
      </c>
      <c r="J21" s="140" t="s">
        <v>160</v>
      </c>
    </row>
    <row r="22" spans="1:10" x14ac:dyDescent="0.3">
      <c r="A22" s="141" t="s">
        <v>196</v>
      </c>
      <c r="B22" s="49" t="s">
        <v>186</v>
      </c>
      <c r="C22" s="50" t="s">
        <v>363</v>
      </c>
      <c r="D22" s="50" t="s">
        <v>40</v>
      </c>
      <c r="E22" s="50" t="s">
        <v>230</v>
      </c>
      <c r="F22" s="50" t="s">
        <v>290</v>
      </c>
      <c r="G22" s="50" t="s">
        <v>178</v>
      </c>
      <c r="H22" s="46" t="s">
        <v>90</v>
      </c>
      <c r="I22" s="46" t="s">
        <v>92</v>
      </c>
      <c r="J22" s="46" t="s">
        <v>160</v>
      </c>
    </row>
    <row r="23" spans="1:10" x14ac:dyDescent="0.3">
      <c r="A23" s="122" t="s">
        <v>208</v>
      </c>
      <c r="B23" s="50" t="s">
        <v>186</v>
      </c>
      <c r="C23" s="50" t="s">
        <v>364</v>
      </c>
      <c r="D23" s="50" t="s">
        <v>40</v>
      </c>
      <c r="E23" s="50" t="s">
        <v>231</v>
      </c>
      <c r="F23" s="50" t="s">
        <v>295</v>
      </c>
      <c r="G23" s="50" t="s">
        <v>178</v>
      </c>
      <c r="H23" s="46" t="s">
        <v>90</v>
      </c>
      <c r="I23" s="46" t="s">
        <v>93</v>
      </c>
      <c r="J23" s="46" t="s">
        <v>394</v>
      </c>
    </row>
    <row r="24" spans="1:10" x14ac:dyDescent="0.3">
      <c r="A24" s="124" t="s">
        <v>210</v>
      </c>
      <c r="B24" s="17" t="s">
        <v>186</v>
      </c>
      <c r="C24" s="17" t="s">
        <v>363</v>
      </c>
      <c r="D24" s="17" t="s">
        <v>233</v>
      </c>
      <c r="E24" s="17" t="s">
        <v>230</v>
      </c>
      <c r="F24" s="17"/>
      <c r="G24" s="143" t="s">
        <v>369</v>
      </c>
      <c r="H24" s="140" t="s">
        <v>90</v>
      </c>
      <c r="I24" s="140" t="s">
        <v>93</v>
      </c>
      <c r="J24" s="140" t="s">
        <v>394</v>
      </c>
    </row>
    <row r="25" spans="1:10" x14ac:dyDescent="0.3">
      <c r="A25" s="122" t="s">
        <v>213</v>
      </c>
      <c r="B25" s="50" t="s">
        <v>186</v>
      </c>
      <c r="C25" s="50" t="s">
        <v>363</v>
      </c>
      <c r="D25" s="50" t="s">
        <v>40</v>
      </c>
      <c r="E25" s="50" t="s">
        <v>230</v>
      </c>
      <c r="F25" s="50" t="s">
        <v>290</v>
      </c>
      <c r="G25" s="50" t="s">
        <v>178</v>
      </c>
      <c r="H25" s="46" t="s">
        <v>90</v>
      </c>
      <c r="I25" s="46" t="s">
        <v>93</v>
      </c>
      <c r="J25" s="50" t="s">
        <v>160</v>
      </c>
    </row>
    <row r="26" spans="1:10" x14ac:dyDescent="0.3">
      <c r="A26" s="124" t="s">
        <v>221</v>
      </c>
      <c r="B26" s="17" t="s">
        <v>186</v>
      </c>
      <c r="C26" s="17" t="s">
        <v>364</v>
      </c>
      <c r="D26" s="17" t="s">
        <v>40</v>
      </c>
      <c r="E26" s="17" t="s">
        <v>231</v>
      </c>
      <c r="F26" s="17" t="s">
        <v>284</v>
      </c>
      <c r="G26" s="17" t="s">
        <v>178</v>
      </c>
      <c r="H26" s="140" t="s">
        <v>90</v>
      </c>
      <c r="I26" s="140" t="s">
        <v>95</v>
      </c>
      <c r="J26" s="140" t="s">
        <v>160</v>
      </c>
    </row>
    <row r="27" spans="1:10" x14ac:dyDescent="0.3">
      <c r="A27" s="141" t="s">
        <v>236</v>
      </c>
      <c r="B27" s="50" t="s">
        <v>186</v>
      </c>
      <c r="C27" s="50" t="s">
        <v>363</v>
      </c>
      <c r="D27" s="50" t="s">
        <v>40</v>
      </c>
      <c r="E27" s="50" t="s">
        <v>230</v>
      </c>
      <c r="F27" s="50" t="s">
        <v>245</v>
      </c>
      <c r="G27" s="50" t="s">
        <v>309</v>
      </c>
      <c r="H27" s="46" t="s">
        <v>90</v>
      </c>
      <c r="I27" s="46" t="s">
        <v>93</v>
      </c>
      <c r="J27" s="46" t="s">
        <v>160</v>
      </c>
    </row>
    <row r="28" spans="1:10" x14ac:dyDescent="0.3">
      <c r="A28" s="139" t="s">
        <v>238</v>
      </c>
      <c r="B28" s="17" t="s">
        <v>186</v>
      </c>
      <c r="C28" s="17" t="s">
        <v>363</v>
      </c>
      <c r="D28" s="17" t="s">
        <v>40</v>
      </c>
      <c r="E28" s="17" t="s">
        <v>230</v>
      </c>
      <c r="F28" s="17">
        <v>0</v>
      </c>
      <c r="G28" s="17" t="s">
        <v>178</v>
      </c>
      <c r="H28" s="140" t="s">
        <v>90</v>
      </c>
      <c r="I28" s="140" t="s">
        <v>93</v>
      </c>
      <c r="J28" s="140" t="s">
        <v>160</v>
      </c>
    </row>
    <row r="29" spans="1:10" x14ac:dyDescent="0.3">
      <c r="A29" s="122" t="s">
        <v>251</v>
      </c>
      <c r="B29" s="50" t="s">
        <v>186</v>
      </c>
      <c r="C29" s="50" t="s">
        <v>364</v>
      </c>
      <c r="D29" s="50" t="s">
        <v>40</v>
      </c>
      <c r="E29" s="50" t="s">
        <v>230</v>
      </c>
      <c r="F29" s="50" t="s">
        <v>259</v>
      </c>
      <c r="G29" s="50" t="s">
        <v>178</v>
      </c>
      <c r="H29" s="46" t="s">
        <v>90</v>
      </c>
      <c r="I29" s="46" t="s">
        <v>93</v>
      </c>
      <c r="J29" s="46" t="s">
        <v>160</v>
      </c>
    </row>
    <row r="30" spans="1:10" x14ac:dyDescent="0.3">
      <c r="A30" s="124" t="s">
        <v>260</v>
      </c>
      <c r="B30" s="17" t="s">
        <v>186</v>
      </c>
      <c r="C30" s="17" t="s">
        <v>363</v>
      </c>
      <c r="D30" s="17" t="s">
        <v>40</v>
      </c>
      <c r="E30" s="17" t="s">
        <v>230</v>
      </c>
      <c r="F30" s="17" t="s">
        <v>265</v>
      </c>
      <c r="G30" s="17" t="s">
        <v>178</v>
      </c>
      <c r="H30" s="140" t="s">
        <v>91</v>
      </c>
      <c r="I30" s="140" t="s">
        <v>93</v>
      </c>
      <c r="J30" s="140" t="s">
        <v>160</v>
      </c>
    </row>
    <row r="31" spans="1:10" x14ac:dyDescent="0.3">
      <c r="A31" s="141" t="s">
        <v>269</v>
      </c>
      <c r="B31" s="50" t="s">
        <v>186</v>
      </c>
      <c r="C31" s="50" t="s">
        <v>363</v>
      </c>
      <c r="D31" s="50" t="s">
        <v>40</v>
      </c>
      <c r="E31" s="50" t="s">
        <v>230</v>
      </c>
      <c r="F31" s="50" t="s">
        <v>264</v>
      </c>
      <c r="G31" s="50" t="s">
        <v>178</v>
      </c>
      <c r="H31" s="46" t="s">
        <v>91</v>
      </c>
      <c r="I31" s="46" t="s">
        <v>93</v>
      </c>
      <c r="J31" s="46" t="s">
        <v>160</v>
      </c>
    </row>
    <row r="32" spans="1:10" x14ac:dyDescent="0.3">
      <c r="A32" s="139" t="s">
        <v>275</v>
      </c>
      <c r="B32" s="17" t="s">
        <v>186</v>
      </c>
      <c r="C32" s="17" t="s">
        <v>363</v>
      </c>
      <c r="D32" s="17" t="s">
        <v>40</v>
      </c>
      <c r="E32" s="17" t="s">
        <v>230</v>
      </c>
      <c r="F32" s="17" t="s">
        <v>286</v>
      </c>
      <c r="G32" s="17" t="s">
        <v>178</v>
      </c>
      <c r="H32" s="140" t="s">
        <v>91</v>
      </c>
      <c r="I32" s="140" t="s">
        <v>93</v>
      </c>
      <c r="J32" s="140" t="s">
        <v>160</v>
      </c>
    </row>
    <row r="33" spans="1:10" x14ac:dyDescent="0.3">
      <c r="A33" s="122" t="s">
        <v>335</v>
      </c>
      <c r="B33" s="50" t="s">
        <v>186</v>
      </c>
      <c r="C33" s="50" t="s">
        <v>363</v>
      </c>
      <c r="D33" s="50" t="s">
        <v>40</v>
      </c>
      <c r="E33" s="50" t="s">
        <v>230</v>
      </c>
      <c r="F33" s="50" t="s">
        <v>372</v>
      </c>
      <c r="G33" s="50" t="s">
        <v>178</v>
      </c>
      <c r="H33" s="46" t="s">
        <v>91</v>
      </c>
      <c r="I33" s="46" t="s">
        <v>336</v>
      </c>
      <c r="J33" s="46" t="s">
        <v>160</v>
      </c>
    </row>
    <row r="34" spans="1:10" x14ac:dyDescent="0.3">
      <c r="A34" s="139" t="s">
        <v>342</v>
      </c>
      <c r="B34" s="17" t="s">
        <v>174</v>
      </c>
      <c r="C34" s="17" t="s">
        <v>363</v>
      </c>
      <c r="D34" s="17" t="s">
        <v>40</v>
      </c>
      <c r="E34" s="17" t="s">
        <v>230</v>
      </c>
      <c r="F34" s="17"/>
      <c r="G34" s="17" t="s">
        <v>178</v>
      </c>
      <c r="H34" s="140" t="s">
        <v>91</v>
      </c>
      <c r="I34" s="140" t="s">
        <v>93</v>
      </c>
      <c r="J34" s="140" t="s">
        <v>160</v>
      </c>
    </row>
    <row r="35" spans="1:10" x14ac:dyDescent="0.3">
      <c r="A35" s="141" t="s">
        <v>345</v>
      </c>
      <c r="B35" s="50" t="s">
        <v>174</v>
      </c>
      <c r="C35" s="50" t="s">
        <v>363</v>
      </c>
      <c r="D35" s="50" t="s">
        <v>40</v>
      </c>
      <c r="E35" s="50" t="s">
        <v>230</v>
      </c>
      <c r="F35" s="50"/>
      <c r="G35" s="50" t="s">
        <v>178</v>
      </c>
      <c r="H35" s="46" t="s">
        <v>91</v>
      </c>
      <c r="I35" s="46" t="s">
        <v>93</v>
      </c>
      <c r="J35" s="46" t="s">
        <v>160</v>
      </c>
    </row>
    <row r="36" spans="1:10" x14ac:dyDescent="0.3">
      <c r="A36" s="139" t="s">
        <v>346</v>
      </c>
      <c r="B36" s="17" t="s">
        <v>186</v>
      </c>
      <c r="C36" s="17" t="s">
        <v>363</v>
      </c>
      <c r="D36" s="17" t="s">
        <v>40</v>
      </c>
      <c r="E36" s="17" t="s">
        <v>230</v>
      </c>
      <c r="F36" s="17">
        <v>0</v>
      </c>
      <c r="G36" s="17" t="s">
        <v>178</v>
      </c>
      <c r="H36" s="140" t="s">
        <v>91</v>
      </c>
      <c r="I36" s="140" t="s">
        <v>92</v>
      </c>
      <c r="J36" s="140" t="s">
        <v>160</v>
      </c>
    </row>
    <row r="37" spans="1:10" x14ac:dyDescent="0.3">
      <c r="A37" s="122" t="s">
        <v>350</v>
      </c>
      <c r="B37" s="50" t="s">
        <v>174</v>
      </c>
      <c r="C37" s="50" t="s">
        <v>363</v>
      </c>
      <c r="D37" s="50" t="s">
        <v>40</v>
      </c>
      <c r="E37" s="50" t="s">
        <v>231</v>
      </c>
      <c r="F37" s="50" t="s">
        <v>263</v>
      </c>
      <c r="G37" s="50" t="s">
        <v>178</v>
      </c>
      <c r="H37" s="46" t="s">
        <v>91</v>
      </c>
      <c r="I37" s="46" t="s">
        <v>92</v>
      </c>
      <c r="J37" s="46" t="s">
        <v>394</v>
      </c>
    </row>
    <row r="38" spans="1:10" x14ac:dyDescent="0.3">
      <c r="A38" s="124" t="s">
        <v>356</v>
      </c>
      <c r="B38" s="17" t="s">
        <v>186</v>
      </c>
      <c r="C38" s="17" t="s">
        <v>364</v>
      </c>
      <c r="D38" s="17" t="s">
        <v>40</v>
      </c>
      <c r="E38" s="17" t="s">
        <v>231</v>
      </c>
      <c r="F38" s="17" t="s">
        <v>374</v>
      </c>
      <c r="G38" s="17" t="s">
        <v>178</v>
      </c>
      <c r="H38" s="140" t="s">
        <v>90</v>
      </c>
      <c r="I38" s="140" t="s">
        <v>92</v>
      </c>
      <c r="J38" s="140" t="s">
        <v>394</v>
      </c>
    </row>
    <row r="39" spans="1:10" x14ac:dyDescent="0.3">
      <c r="A39" s="144" t="s">
        <v>386</v>
      </c>
      <c r="B39" s="50" t="s">
        <v>186</v>
      </c>
      <c r="C39" s="50" t="s">
        <v>363</v>
      </c>
      <c r="D39" s="50" t="s">
        <v>142</v>
      </c>
      <c r="E39" s="50"/>
      <c r="F39" s="50"/>
      <c r="G39" s="50" t="s">
        <v>178</v>
      </c>
      <c r="H39" s="46" t="s">
        <v>90</v>
      </c>
      <c r="I39" s="46" t="s">
        <v>96</v>
      </c>
      <c r="J39" s="46" t="s">
        <v>160</v>
      </c>
    </row>
    <row r="40" spans="1:10" x14ac:dyDescent="0.3">
      <c r="A40" s="125" t="s">
        <v>389</v>
      </c>
      <c r="B40" s="126" t="s">
        <v>186</v>
      </c>
      <c r="C40" s="126" t="s">
        <v>364</v>
      </c>
      <c r="D40" s="126" t="s">
        <v>40</v>
      </c>
      <c r="E40" s="126" t="s">
        <v>231</v>
      </c>
      <c r="F40" s="126" t="s">
        <v>299</v>
      </c>
      <c r="G40" s="126" t="s">
        <v>178</v>
      </c>
      <c r="H40" s="145" t="s">
        <v>90</v>
      </c>
      <c r="I40" s="145" t="s">
        <v>92</v>
      </c>
      <c r="J40" s="145" t="s">
        <v>394</v>
      </c>
    </row>
  </sheetData>
  <autoFilter ref="A1:J40" xr:uid="{0D334EB0-D19F-4847-83D7-F833DD646B04}"/>
  <conditionalFormatting sqref="A1:A40">
    <cfRule type="duplicateValues" dxfId="77" priority="3301"/>
    <cfRule type="duplicateValues" dxfId="76" priority="3302"/>
  </conditionalFormatting>
  <conditionalFormatting sqref="A2:A6">
    <cfRule type="duplicateValues" dxfId="75" priority="3167"/>
  </conditionalFormatting>
  <conditionalFormatting sqref="A2:A38">
    <cfRule type="duplicateValues" dxfId="74" priority="3305"/>
  </conditionalFormatting>
  <conditionalFormatting sqref="A3:A38">
    <cfRule type="duplicateValues" dxfId="73" priority="3297"/>
  </conditionalFormatting>
  <conditionalFormatting sqref="A4:A38">
    <cfRule type="duplicateValues" dxfId="72" priority="3299"/>
  </conditionalFormatting>
  <conditionalFormatting sqref="A8">
    <cfRule type="duplicateValues" dxfId="71" priority="20"/>
    <cfRule type="duplicateValues" dxfId="70" priority="21"/>
  </conditionalFormatting>
  <conditionalFormatting sqref="A13">
    <cfRule type="duplicateValues" dxfId="69" priority="19"/>
  </conditionalFormatting>
  <conditionalFormatting sqref="A15">
    <cfRule type="duplicateValues" dxfId="68" priority="3233"/>
  </conditionalFormatting>
  <conditionalFormatting sqref="A15:A22">
    <cfRule type="duplicateValues" dxfId="67" priority="3282"/>
  </conditionalFormatting>
  <conditionalFormatting sqref="A18:A21">
    <cfRule type="duplicateValues" dxfId="66" priority="15"/>
  </conditionalFormatting>
  <conditionalFormatting sqref="A18:A25">
    <cfRule type="duplicateValues" dxfId="65" priority="3293"/>
    <cfRule type="duplicateValues" dxfId="64" priority="3294"/>
  </conditionalFormatting>
  <conditionalFormatting sqref="A25">
    <cfRule type="duplicateValues" dxfId="63" priority="6"/>
    <cfRule type="duplicateValues" dxfId="62" priority="7"/>
    <cfRule type="duplicateValues" dxfId="61" priority="8"/>
    <cfRule type="duplicateValues" dxfId="60" priority="9"/>
  </conditionalFormatting>
  <conditionalFormatting sqref="A25:A26">
    <cfRule type="duplicateValues" dxfId="59" priority="10"/>
  </conditionalFormatting>
  <conditionalFormatting sqref="A26">
    <cfRule type="duplicateValues" dxfId="58" priority="5"/>
  </conditionalFormatting>
  <conditionalFormatting sqref="A33">
    <cfRule type="duplicateValues" dxfId="57" priority="3"/>
    <cfRule type="duplicateValues" dxfId="56" priority="4"/>
  </conditionalFormatting>
  <conditionalFormatting sqref="A34:A38">
    <cfRule type="duplicateValues" dxfId="55" priority="1"/>
    <cfRule type="duplicateValues" dxfId="54" priority="2"/>
  </conditionalFormatting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ACA04FD6-2C01-4007-A6D2-07EB3AEEE3CF}">
          <x14:formula1>
            <xm:f>Sheet1!$Q$12:$Q$15</xm:f>
          </x14:formula1>
          <xm:sqref>J1</xm:sqref>
        </x14:dataValidation>
        <x14:dataValidation type="list" allowBlank="1" showInputMessage="1" showErrorMessage="1" xr:uid="{2F153505-B955-4A6A-A78D-70E3E1735D8C}">
          <x14:formula1>
            <xm:f>Sheet1!$J$13:$J$26</xm:f>
          </x14:formula1>
          <xm:sqref>G1</xm:sqref>
        </x14:dataValidation>
        <x14:dataValidation type="list" allowBlank="1" showInputMessage="1" showErrorMessage="1" xr:uid="{28F4430A-886D-4A97-BC1C-A23811BADCB2}">
          <x14:formula1>
            <xm:f>Sheet1!$P$12:$P$18</xm:f>
          </x14:formula1>
          <xm:sqref>I1 I34:I38</xm:sqref>
        </x14:dataValidation>
        <x14:dataValidation type="list" allowBlank="1" showInputMessage="1" showErrorMessage="1" xr:uid="{349529DC-C9BB-4443-A08C-83C54B59AEB0}">
          <x14:formula1>
            <xm:f>Sheet1!$P$12:$P$19</xm:f>
          </x14:formula1>
          <xm:sqref>I39:I40 I2:I33</xm:sqref>
        </x14:dataValidation>
        <x14:dataValidation type="list" allowBlank="1" showInputMessage="1" showErrorMessage="1" xr:uid="{52AE4BE7-26BD-4EF9-A5E4-F56A8DC26021}">
          <x14:formula1>
            <xm:f>Sheet1!$L$12:$L$23</xm:f>
          </x14:formula1>
          <xm:sqref>D1:D40</xm:sqref>
        </x14:dataValidation>
        <x14:dataValidation type="list" allowBlank="1" showInputMessage="1" showErrorMessage="1" xr:uid="{CCE1B586-AF50-4567-810C-27ED2139DE66}">
          <x14:formula1>
            <xm:f>Sheet1!$T$12:$T$14</xm:f>
          </x14:formula1>
          <xm:sqref>E1:E40</xm:sqref>
        </x14:dataValidation>
        <x14:dataValidation type="list" allowBlank="1" showInputMessage="1" showErrorMessage="1" xr:uid="{05D82789-5075-4409-9593-4804BFD22F10}">
          <x14:formula1>
            <xm:f>Sheet1!$S$12:$S$13</xm:f>
          </x14:formula1>
          <xm:sqref>B1:B40</xm:sqref>
        </x14:dataValidation>
        <x14:dataValidation type="list" allowBlank="1" showInputMessage="1" showErrorMessage="1" xr:uid="{0F5FDF4D-9D01-4FEC-BD85-423D3A4B8C92}">
          <x14:formula1>
            <xm:f>Sheet1!$O$12:$O$13</xm:f>
          </x14:formula1>
          <xm:sqref>H1:H40</xm:sqref>
        </x14:dataValidation>
        <x14:dataValidation type="list" allowBlank="1" showInputMessage="1" showErrorMessage="1" xr:uid="{7516E6EC-B558-4E66-A109-6FD0246407BA}">
          <x14:formula1>
            <xm:f>Sheet1!$Q$12:$Q$16</xm:f>
          </x14:formula1>
          <xm:sqref>J2:J40</xm:sqref>
        </x14:dataValidation>
        <x14:dataValidation type="list" allowBlank="1" showInputMessage="1" showErrorMessage="1" xr:uid="{0412B7A0-B759-4EC4-8ED9-2ECC50906FBB}">
          <x14:formula1>
            <xm:f>Sheet1!$J$13:$J$28</xm:f>
          </x14:formula1>
          <xm:sqref>G2:G40</xm:sqref>
        </x14:dataValidation>
        <x14:dataValidation type="list" allowBlank="1" showInputMessage="1" showErrorMessage="1" xr:uid="{AA5BB714-62A3-4DB2-AA2A-7C3224606A2A}">
          <x14:formula1>
            <xm:f>Sheet1!$P$5:$Q$8+Sheet1!$U$12:$U$13</xm:f>
          </x14:formula1>
          <xm:sqref>C2:C40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9D52-1D5F-4DF3-8E71-7AFC4C0E55C8}">
  <dimension ref="A1:J54"/>
  <sheetViews>
    <sheetView workbookViewId="0">
      <selection sqref="A1:J54"/>
    </sheetView>
  </sheetViews>
  <sheetFormatPr defaultRowHeight="14.4" x14ac:dyDescent="0.3"/>
  <cols>
    <col min="1" max="1" width="8.88671875" customWidth="1"/>
  </cols>
  <sheetData>
    <row r="1" spans="1:10" x14ac:dyDescent="0.3">
      <c r="A1" s="108" t="s">
        <v>18</v>
      </c>
      <c r="B1" s="136" t="s">
        <v>185</v>
      </c>
      <c r="C1" s="123" t="s">
        <v>376</v>
      </c>
      <c r="D1" s="137" t="s">
        <v>19</v>
      </c>
      <c r="E1" s="123" t="s">
        <v>228</v>
      </c>
      <c r="F1" s="123" t="s">
        <v>243</v>
      </c>
      <c r="G1" s="138" t="s">
        <v>46</v>
      </c>
      <c r="H1" s="138" t="s">
        <v>84</v>
      </c>
      <c r="I1" s="138" t="s">
        <v>99</v>
      </c>
      <c r="J1" s="138" t="s">
        <v>140</v>
      </c>
    </row>
    <row r="2" spans="1:10" x14ac:dyDescent="0.3">
      <c r="A2" s="139" t="s">
        <v>24</v>
      </c>
      <c r="B2" s="17" t="s">
        <v>186</v>
      </c>
      <c r="C2" s="17" t="s">
        <v>363</v>
      </c>
      <c r="D2" s="17" t="s">
        <v>33</v>
      </c>
      <c r="E2" s="17" t="s">
        <v>230</v>
      </c>
      <c r="F2" s="17"/>
      <c r="G2" s="17" t="s">
        <v>157</v>
      </c>
      <c r="H2" s="140" t="s">
        <v>90</v>
      </c>
      <c r="I2" s="140" t="s">
        <v>94</v>
      </c>
      <c r="J2" s="140" t="s">
        <v>160</v>
      </c>
    </row>
    <row r="3" spans="1:10" x14ac:dyDescent="0.3">
      <c r="A3" s="122" t="s">
        <v>138</v>
      </c>
      <c r="B3" s="50" t="s">
        <v>174</v>
      </c>
      <c r="C3" s="50" t="s">
        <v>364</v>
      </c>
      <c r="D3" s="50" t="s">
        <v>33</v>
      </c>
      <c r="E3" s="50" t="s">
        <v>231</v>
      </c>
      <c r="F3" s="50" t="s">
        <v>262</v>
      </c>
      <c r="G3" s="43" t="s">
        <v>178</v>
      </c>
      <c r="H3" s="46" t="s">
        <v>90</v>
      </c>
      <c r="I3" s="46" t="s">
        <v>95</v>
      </c>
      <c r="J3" s="46" t="s">
        <v>394</v>
      </c>
    </row>
    <row r="4" spans="1:10" x14ac:dyDescent="0.3">
      <c r="A4" s="124" t="s">
        <v>135</v>
      </c>
      <c r="B4" s="17" t="s">
        <v>186</v>
      </c>
      <c r="C4" s="17" t="s">
        <v>364</v>
      </c>
      <c r="D4" s="17" t="s">
        <v>33</v>
      </c>
      <c r="E4" s="17" t="s">
        <v>230</v>
      </c>
      <c r="F4" s="17" t="s">
        <v>297</v>
      </c>
      <c r="G4" s="17" t="s">
        <v>178</v>
      </c>
      <c r="H4" s="140" t="s">
        <v>91</v>
      </c>
      <c r="I4" s="140" t="s">
        <v>95</v>
      </c>
      <c r="J4" s="140" t="s">
        <v>394</v>
      </c>
    </row>
    <row r="5" spans="1:10" x14ac:dyDescent="0.3">
      <c r="A5" s="122" t="s">
        <v>128</v>
      </c>
      <c r="B5" s="50" t="s">
        <v>186</v>
      </c>
      <c r="C5" s="50" t="s">
        <v>364</v>
      </c>
      <c r="D5" s="50" t="s">
        <v>40</v>
      </c>
      <c r="E5" s="50" t="s">
        <v>231</v>
      </c>
      <c r="F5" s="50" t="s">
        <v>296</v>
      </c>
      <c r="G5" s="50" t="s">
        <v>378</v>
      </c>
      <c r="H5" s="46" t="s">
        <v>90</v>
      </c>
      <c r="I5" s="46" t="s">
        <v>95</v>
      </c>
      <c r="J5" s="46" t="s">
        <v>394</v>
      </c>
    </row>
    <row r="6" spans="1:10" x14ac:dyDescent="0.3">
      <c r="A6" s="139" t="s">
        <v>79</v>
      </c>
      <c r="B6" s="17" t="s">
        <v>186</v>
      </c>
      <c r="C6" s="17" t="s">
        <v>364</v>
      </c>
      <c r="D6" s="17" t="s">
        <v>40</v>
      </c>
      <c r="E6" s="17" t="s">
        <v>230</v>
      </c>
      <c r="F6" s="17"/>
      <c r="G6" s="17" t="s">
        <v>178</v>
      </c>
      <c r="H6" s="140" t="s">
        <v>90</v>
      </c>
      <c r="I6" s="140" t="s">
        <v>92</v>
      </c>
      <c r="J6" s="140" t="s">
        <v>160</v>
      </c>
    </row>
    <row r="7" spans="1:10" x14ac:dyDescent="0.3">
      <c r="A7" s="122" t="s">
        <v>126</v>
      </c>
      <c r="B7" s="50" t="s">
        <v>174</v>
      </c>
      <c r="C7" s="50" t="s">
        <v>364</v>
      </c>
      <c r="D7" s="50" t="s">
        <v>40</v>
      </c>
      <c r="E7" s="50" t="s">
        <v>230</v>
      </c>
      <c r="F7" s="50" t="s">
        <v>297</v>
      </c>
      <c r="G7" s="50" t="s">
        <v>157</v>
      </c>
      <c r="H7" s="46" t="s">
        <v>90</v>
      </c>
      <c r="I7" s="46" t="s">
        <v>95</v>
      </c>
      <c r="J7" s="46" t="s">
        <v>394</v>
      </c>
    </row>
    <row r="8" spans="1:10" x14ac:dyDescent="0.3">
      <c r="A8" s="124" t="s">
        <v>122</v>
      </c>
      <c r="B8" s="17" t="s">
        <v>186</v>
      </c>
      <c r="C8" s="17" t="s">
        <v>364</v>
      </c>
      <c r="D8" s="17" t="s">
        <v>40</v>
      </c>
      <c r="E8" s="17" t="s">
        <v>231</v>
      </c>
      <c r="F8" s="17" t="s">
        <v>287</v>
      </c>
      <c r="G8" s="17" t="s">
        <v>47</v>
      </c>
      <c r="H8" s="140" t="s">
        <v>90</v>
      </c>
      <c r="I8" s="140" t="s">
        <v>95</v>
      </c>
      <c r="J8" s="140" t="s">
        <v>394</v>
      </c>
    </row>
    <row r="9" spans="1:10" x14ac:dyDescent="0.3">
      <c r="A9" s="122" t="s">
        <v>127</v>
      </c>
      <c r="B9" s="50" t="s">
        <v>186</v>
      </c>
      <c r="C9" s="50" t="s">
        <v>364</v>
      </c>
      <c r="D9" s="50" t="s">
        <v>40</v>
      </c>
      <c r="E9" s="50" t="s">
        <v>230</v>
      </c>
      <c r="F9" s="50" t="s">
        <v>264</v>
      </c>
      <c r="G9" s="50" t="s">
        <v>378</v>
      </c>
      <c r="H9" s="46" t="s">
        <v>90</v>
      </c>
      <c r="I9" s="46" t="s">
        <v>95</v>
      </c>
      <c r="J9" s="46" t="s">
        <v>394</v>
      </c>
    </row>
    <row r="10" spans="1:10" x14ac:dyDescent="0.3">
      <c r="A10" s="124" t="s">
        <v>130</v>
      </c>
      <c r="B10" s="17" t="s">
        <v>174</v>
      </c>
      <c r="C10" s="17" t="s">
        <v>364</v>
      </c>
      <c r="D10" s="17" t="s">
        <v>63</v>
      </c>
      <c r="E10" s="17" t="s">
        <v>231</v>
      </c>
      <c r="F10" s="17" t="s">
        <v>296</v>
      </c>
      <c r="G10" s="17" t="s">
        <v>178</v>
      </c>
      <c r="H10" s="140" t="s">
        <v>90</v>
      </c>
      <c r="I10" s="140" t="s">
        <v>95</v>
      </c>
      <c r="J10" s="140" t="s">
        <v>394</v>
      </c>
    </row>
    <row r="11" spans="1:10" x14ac:dyDescent="0.3">
      <c r="A11" s="141" t="s">
        <v>143</v>
      </c>
      <c r="B11" s="50" t="s">
        <v>174</v>
      </c>
      <c r="C11" s="50" t="s">
        <v>363</v>
      </c>
      <c r="D11" s="50" t="s">
        <v>40</v>
      </c>
      <c r="E11" s="50" t="s">
        <v>230</v>
      </c>
      <c r="F11" s="50"/>
      <c r="G11" s="50" t="s">
        <v>178</v>
      </c>
      <c r="H11" s="46" t="s">
        <v>90</v>
      </c>
      <c r="I11" s="46" t="s">
        <v>94</v>
      </c>
      <c r="J11" s="46" t="s">
        <v>160</v>
      </c>
    </row>
    <row r="12" spans="1:10" x14ac:dyDescent="0.3">
      <c r="A12" s="124" t="s">
        <v>129</v>
      </c>
      <c r="B12" s="17" t="s">
        <v>186</v>
      </c>
      <c r="C12" s="17" t="s">
        <v>364</v>
      </c>
      <c r="D12" s="17" t="s">
        <v>33</v>
      </c>
      <c r="E12" s="17" t="s">
        <v>231</v>
      </c>
      <c r="F12" s="17" t="s">
        <v>294</v>
      </c>
      <c r="G12" s="17" t="s">
        <v>178</v>
      </c>
      <c r="H12" s="140" t="s">
        <v>91</v>
      </c>
      <c r="I12" s="140" t="s">
        <v>95</v>
      </c>
      <c r="J12" s="140" t="s">
        <v>394</v>
      </c>
    </row>
    <row r="13" spans="1:10" x14ac:dyDescent="0.3">
      <c r="A13" s="141" t="s">
        <v>14</v>
      </c>
      <c r="B13" s="33" t="s">
        <v>186</v>
      </c>
      <c r="C13" s="50" t="s">
        <v>364</v>
      </c>
      <c r="D13" s="50" t="s">
        <v>63</v>
      </c>
      <c r="E13" s="50" t="s">
        <v>230</v>
      </c>
      <c r="F13" s="50" t="s">
        <v>265</v>
      </c>
      <c r="G13" s="50" t="s">
        <v>178</v>
      </c>
      <c r="H13" s="46" t="s">
        <v>90</v>
      </c>
      <c r="I13" s="46" t="s">
        <v>94</v>
      </c>
      <c r="J13" s="46" t="s">
        <v>160</v>
      </c>
    </row>
    <row r="14" spans="1:10" x14ac:dyDescent="0.3">
      <c r="A14" s="139" t="s">
        <v>2</v>
      </c>
      <c r="B14" s="17" t="s">
        <v>186</v>
      </c>
      <c r="C14" s="17" t="s">
        <v>363</v>
      </c>
      <c r="D14" s="17" t="s">
        <v>63</v>
      </c>
      <c r="E14" s="17"/>
      <c r="F14" s="17"/>
      <c r="G14" s="17" t="s">
        <v>47</v>
      </c>
      <c r="H14" s="140" t="s">
        <v>90</v>
      </c>
      <c r="I14" s="140" t="s">
        <v>96</v>
      </c>
      <c r="J14" s="140" t="s">
        <v>160</v>
      </c>
    </row>
    <row r="15" spans="1:10" x14ac:dyDescent="0.3">
      <c r="A15" s="122" t="s">
        <v>121</v>
      </c>
      <c r="B15" s="49" t="s">
        <v>186</v>
      </c>
      <c r="C15" s="50" t="s">
        <v>364</v>
      </c>
      <c r="D15" s="50" t="s">
        <v>40</v>
      </c>
      <c r="E15" s="50" t="s">
        <v>230</v>
      </c>
      <c r="F15" s="50" t="s">
        <v>299</v>
      </c>
      <c r="G15" s="50" t="s">
        <v>378</v>
      </c>
      <c r="H15" s="46" t="s">
        <v>90</v>
      </c>
      <c r="I15" s="46" t="s">
        <v>95</v>
      </c>
      <c r="J15" s="46" t="s">
        <v>394</v>
      </c>
    </row>
    <row r="16" spans="1:10" x14ac:dyDescent="0.3">
      <c r="A16" s="124" t="s">
        <v>137</v>
      </c>
      <c r="B16" s="110" t="s">
        <v>186</v>
      </c>
      <c r="C16" s="17" t="s">
        <v>364</v>
      </c>
      <c r="D16" s="17" t="s">
        <v>40</v>
      </c>
      <c r="E16" s="17" t="s">
        <v>230</v>
      </c>
      <c r="F16" s="17" t="s">
        <v>299</v>
      </c>
      <c r="G16" s="17" t="s">
        <v>157</v>
      </c>
      <c r="H16" s="140" t="s">
        <v>90</v>
      </c>
      <c r="I16" s="140" t="s">
        <v>95</v>
      </c>
      <c r="J16" s="140" t="s">
        <v>394</v>
      </c>
    </row>
    <row r="17" spans="1:10" x14ac:dyDescent="0.3">
      <c r="A17" s="141" t="s">
        <v>21</v>
      </c>
      <c r="B17" s="49" t="s">
        <v>174</v>
      </c>
      <c r="C17" s="50" t="s">
        <v>364</v>
      </c>
      <c r="D17" s="50" t="s">
        <v>40</v>
      </c>
      <c r="E17" s="50" t="s">
        <v>230</v>
      </c>
      <c r="F17" s="50"/>
      <c r="G17" s="50" t="s">
        <v>178</v>
      </c>
      <c r="H17" s="46" t="s">
        <v>90</v>
      </c>
      <c r="I17" s="46" t="s">
        <v>94</v>
      </c>
      <c r="J17" s="46" t="s">
        <v>160</v>
      </c>
    </row>
    <row r="18" spans="1:10" x14ac:dyDescent="0.3">
      <c r="A18" s="124" t="s">
        <v>120</v>
      </c>
      <c r="B18" s="110" t="s">
        <v>174</v>
      </c>
      <c r="C18" s="17" t="s">
        <v>364</v>
      </c>
      <c r="D18" s="17" t="s">
        <v>158</v>
      </c>
      <c r="E18" s="17" t="s">
        <v>230</v>
      </c>
      <c r="F18" s="17"/>
      <c r="G18" s="17" t="s">
        <v>369</v>
      </c>
      <c r="H18" s="140" t="s">
        <v>90</v>
      </c>
      <c r="I18" s="140" t="s">
        <v>95</v>
      </c>
      <c r="J18" s="140" t="s">
        <v>394</v>
      </c>
    </row>
    <row r="19" spans="1:10" x14ac:dyDescent="0.3">
      <c r="A19" s="141" t="s">
        <v>9</v>
      </c>
      <c r="B19" s="49" t="s">
        <v>174</v>
      </c>
      <c r="C19" s="50" t="s">
        <v>363</v>
      </c>
      <c r="D19" s="50" t="s">
        <v>33</v>
      </c>
      <c r="E19" s="50" t="s">
        <v>230</v>
      </c>
      <c r="F19" s="50"/>
      <c r="G19" s="50" t="s">
        <v>47</v>
      </c>
      <c r="H19" s="46" t="s">
        <v>90</v>
      </c>
      <c r="I19" s="46" t="s">
        <v>94</v>
      </c>
      <c r="J19" s="46" t="s">
        <v>160</v>
      </c>
    </row>
    <row r="20" spans="1:10" x14ac:dyDescent="0.3">
      <c r="A20" s="139" t="s">
        <v>109</v>
      </c>
      <c r="B20" s="110" t="s">
        <v>186</v>
      </c>
      <c r="C20" s="17" t="s">
        <v>363</v>
      </c>
      <c r="D20" s="17" t="s">
        <v>33</v>
      </c>
      <c r="E20" s="17" t="s">
        <v>230</v>
      </c>
      <c r="F20" s="17"/>
      <c r="G20" s="17" t="s">
        <v>47</v>
      </c>
      <c r="H20" s="140" t="s">
        <v>90</v>
      </c>
      <c r="I20" s="140" t="s">
        <v>94</v>
      </c>
      <c r="J20" s="140" t="s">
        <v>160</v>
      </c>
    </row>
    <row r="21" spans="1:10" x14ac:dyDescent="0.3">
      <c r="A21" s="141" t="s">
        <v>23</v>
      </c>
      <c r="B21" s="49" t="s">
        <v>174</v>
      </c>
      <c r="C21" s="50" t="s">
        <v>363</v>
      </c>
      <c r="D21" s="50" t="s">
        <v>40</v>
      </c>
      <c r="E21" s="50" t="s">
        <v>230</v>
      </c>
      <c r="F21" s="50"/>
      <c r="G21" s="50" t="s">
        <v>47</v>
      </c>
      <c r="H21" s="46" t="s">
        <v>90</v>
      </c>
      <c r="I21" s="46" t="s">
        <v>94</v>
      </c>
      <c r="J21" s="46" t="s">
        <v>160</v>
      </c>
    </row>
    <row r="22" spans="1:10" x14ac:dyDescent="0.3">
      <c r="A22" s="139" t="s">
        <v>110</v>
      </c>
      <c r="B22" s="110" t="s">
        <v>186</v>
      </c>
      <c r="C22" s="17" t="s">
        <v>363</v>
      </c>
      <c r="D22" s="17" t="s">
        <v>40</v>
      </c>
      <c r="E22" s="17" t="s">
        <v>230</v>
      </c>
      <c r="F22" s="17"/>
      <c r="G22" s="17" t="s">
        <v>178</v>
      </c>
      <c r="H22" s="140" t="s">
        <v>90</v>
      </c>
      <c r="I22" s="140" t="s">
        <v>94</v>
      </c>
      <c r="J22" s="140" t="s">
        <v>160</v>
      </c>
    </row>
    <row r="23" spans="1:10" x14ac:dyDescent="0.3">
      <c r="A23" s="141" t="s">
        <v>159</v>
      </c>
      <c r="B23" s="49" t="s">
        <v>186</v>
      </c>
      <c r="C23" s="50" t="s">
        <v>364</v>
      </c>
      <c r="D23" s="49" t="s">
        <v>158</v>
      </c>
      <c r="E23" s="50" t="s">
        <v>230</v>
      </c>
      <c r="F23" s="50"/>
      <c r="G23" s="50" t="s">
        <v>369</v>
      </c>
      <c r="H23" s="46" t="s">
        <v>90</v>
      </c>
      <c r="I23" s="46" t="s">
        <v>94</v>
      </c>
      <c r="J23" s="46" t="s">
        <v>160</v>
      </c>
    </row>
    <row r="24" spans="1:10" x14ac:dyDescent="0.3">
      <c r="A24" s="139" t="s">
        <v>161</v>
      </c>
      <c r="B24" s="110" t="s">
        <v>186</v>
      </c>
      <c r="C24" s="17" t="s">
        <v>364</v>
      </c>
      <c r="D24" s="110" t="s">
        <v>158</v>
      </c>
      <c r="E24" s="17" t="s">
        <v>232</v>
      </c>
      <c r="F24" s="17"/>
      <c r="G24" s="17" t="s">
        <v>369</v>
      </c>
      <c r="H24" s="140" t="s">
        <v>90</v>
      </c>
      <c r="I24" s="140" t="s">
        <v>92</v>
      </c>
      <c r="J24" s="140" t="s">
        <v>160</v>
      </c>
    </row>
    <row r="25" spans="1:10" x14ac:dyDescent="0.3">
      <c r="A25" s="141" t="s">
        <v>170</v>
      </c>
      <c r="B25" s="49" t="s">
        <v>186</v>
      </c>
      <c r="C25" s="50" t="s">
        <v>364</v>
      </c>
      <c r="D25" s="50" t="s">
        <v>132</v>
      </c>
      <c r="E25" s="50" t="s">
        <v>231</v>
      </c>
      <c r="F25" s="50"/>
      <c r="G25" s="50" t="s">
        <v>178</v>
      </c>
      <c r="H25" s="46" t="s">
        <v>90</v>
      </c>
      <c r="I25" s="46" t="s">
        <v>93</v>
      </c>
      <c r="J25" s="46" t="s">
        <v>160</v>
      </c>
    </row>
    <row r="26" spans="1:10" x14ac:dyDescent="0.3">
      <c r="A26" s="139" t="s">
        <v>165</v>
      </c>
      <c r="B26" s="110" t="s">
        <v>174</v>
      </c>
      <c r="C26" s="17" t="s">
        <v>363</v>
      </c>
      <c r="D26" s="17" t="s">
        <v>40</v>
      </c>
      <c r="E26" s="17" t="s">
        <v>230</v>
      </c>
      <c r="F26" s="17"/>
      <c r="G26" s="17" t="s">
        <v>178</v>
      </c>
      <c r="H26" s="140" t="s">
        <v>90</v>
      </c>
      <c r="I26" s="140" t="s">
        <v>92</v>
      </c>
      <c r="J26" s="140" t="s">
        <v>160</v>
      </c>
    </row>
    <row r="27" spans="1:10" x14ac:dyDescent="0.3">
      <c r="A27" s="141" t="s">
        <v>166</v>
      </c>
      <c r="B27" s="49" t="s">
        <v>186</v>
      </c>
      <c r="C27" s="50" t="s">
        <v>363</v>
      </c>
      <c r="D27" s="50" t="s">
        <v>40</v>
      </c>
      <c r="E27" s="50" t="s">
        <v>230</v>
      </c>
      <c r="F27" s="50"/>
      <c r="G27" s="50" t="s">
        <v>178</v>
      </c>
      <c r="H27" s="46" t="s">
        <v>90</v>
      </c>
      <c r="I27" s="46" t="s">
        <v>92</v>
      </c>
      <c r="J27" s="46" t="s">
        <v>160</v>
      </c>
    </row>
    <row r="28" spans="1:10" x14ac:dyDescent="0.3">
      <c r="A28" s="139" t="s">
        <v>187</v>
      </c>
      <c r="B28" s="110" t="s">
        <v>174</v>
      </c>
      <c r="C28" s="17" t="s">
        <v>363</v>
      </c>
      <c r="D28" s="17" t="s">
        <v>40</v>
      </c>
      <c r="E28" s="17" t="s">
        <v>230</v>
      </c>
      <c r="F28" s="17"/>
      <c r="G28" s="17" t="s">
        <v>178</v>
      </c>
      <c r="H28" s="140" t="s">
        <v>90</v>
      </c>
      <c r="I28" s="140" t="s">
        <v>94</v>
      </c>
      <c r="J28" s="140" t="s">
        <v>160</v>
      </c>
    </row>
    <row r="29" spans="1:10" x14ac:dyDescent="0.3">
      <c r="A29" s="141" t="s">
        <v>173</v>
      </c>
      <c r="B29" s="49" t="s">
        <v>186</v>
      </c>
      <c r="C29" s="50" t="s">
        <v>363</v>
      </c>
      <c r="D29" s="50" t="s">
        <v>40</v>
      </c>
      <c r="E29" s="50" t="s">
        <v>230</v>
      </c>
      <c r="F29" s="50"/>
      <c r="G29" s="50" t="s">
        <v>309</v>
      </c>
      <c r="H29" s="46" t="s">
        <v>90</v>
      </c>
      <c r="I29" s="46" t="s">
        <v>93</v>
      </c>
      <c r="J29" s="46" t="s">
        <v>160</v>
      </c>
    </row>
    <row r="30" spans="1:10" x14ac:dyDescent="0.3">
      <c r="A30" s="124" t="s">
        <v>189</v>
      </c>
      <c r="B30" s="110" t="s">
        <v>174</v>
      </c>
      <c r="C30" s="17" t="s">
        <v>363</v>
      </c>
      <c r="D30" s="17" t="s">
        <v>183</v>
      </c>
      <c r="E30" s="17" t="s">
        <v>230</v>
      </c>
      <c r="F30" s="17"/>
      <c r="G30" s="17" t="s">
        <v>369</v>
      </c>
      <c r="H30" s="140" t="s">
        <v>90</v>
      </c>
      <c r="I30" s="140" t="s">
        <v>92</v>
      </c>
      <c r="J30" s="140" t="s">
        <v>394</v>
      </c>
    </row>
    <row r="31" spans="1:10" x14ac:dyDescent="0.3">
      <c r="A31" s="141" t="s">
        <v>190</v>
      </c>
      <c r="B31" s="49" t="s">
        <v>186</v>
      </c>
      <c r="C31" s="50" t="s">
        <v>363</v>
      </c>
      <c r="D31" s="50" t="s">
        <v>40</v>
      </c>
      <c r="E31" s="50" t="s">
        <v>230</v>
      </c>
      <c r="F31" s="50"/>
      <c r="G31" s="50" t="s">
        <v>178</v>
      </c>
      <c r="H31" s="46" t="s">
        <v>90</v>
      </c>
      <c r="I31" s="46" t="s">
        <v>92</v>
      </c>
      <c r="J31" s="46" t="s">
        <v>160</v>
      </c>
    </row>
    <row r="32" spans="1:10" x14ac:dyDescent="0.3">
      <c r="A32" s="139" t="s">
        <v>191</v>
      </c>
      <c r="B32" s="110" t="s">
        <v>186</v>
      </c>
      <c r="C32" s="17" t="s">
        <v>363</v>
      </c>
      <c r="D32" s="17" t="s">
        <v>40</v>
      </c>
      <c r="E32" s="17" t="s">
        <v>230</v>
      </c>
      <c r="F32" s="17" t="s">
        <v>283</v>
      </c>
      <c r="G32" s="17" t="s">
        <v>178</v>
      </c>
      <c r="H32" s="140" t="s">
        <v>90</v>
      </c>
      <c r="I32" s="140" t="s">
        <v>92</v>
      </c>
      <c r="J32" s="140" t="s">
        <v>160</v>
      </c>
    </row>
    <row r="33" spans="1:10" x14ac:dyDescent="0.3">
      <c r="A33" s="141" t="s">
        <v>196</v>
      </c>
      <c r="B33" s="49" t="s">
        <v>186</v>
      </c>
      <c r="C33" s="50" t="s">
        <v>363</v>
      </c>
      <c r="D33" s="50" t="s">
        <v>40</v>
      </c>
      <c r="E33" s="50" t="s">
        <v>230</v>
      </c>
      <c r="F33" s="50" t="s">
        <v>290</v>
      </c>
      <c r="G33" s="50" t="s">
        <v>178</v>
      </c>
      <c r="H33" s="46" t="s">
        <v>90</v>
      </c>
      <c r="I33" s="46" t="s">
        <v>92</v>
      </c>
      <c r="J33" s="46" t="s">
        <v>160</v>
      </c>
    </row>
    <row r="34" spans="1:10" x14ac:dyDescent="0.3">
      <c r="A34" s="139" t="s">
        <v>198</v>
      </c>
      <c r="B34" s="110" t="s">
        <v>186</v>
      </c>
      <c r="C34" s="17" t="s">
        <v>363</v>
      </c>
      <c r="D34" s="17" t="s">
        <v>183</v>
      </c>
      <c r="E34" s="17" t="s">
        <v>230</v>
      </c>
      <c r="F34" s="17"/>
      <c r="G34" s="17" t="s">
        <v>199</v>
      </c>
      <c r="H34" s="142" t="s">
        <v>90</v>
      </c>
      <c r="I34" s="17" t="s">
        <v>94</v>
      </c>
      <c r="J34" s="140" t="s">
        <v>160</v>
      </c>
    </row>
    <row r="35" spans="1:10" x14ac:dyDescent="0.3">
      <c r="A35" s="122" t="s">
        <v>203</v>
      </c>
      <c r="B35" s="50" t="s">
        <v>186</v>
      </c>
      <c r="C35" s="50" t="s">
        <v>363</v>
      </c>
      <c r="D35" s="50" t="s">
        <v>183</v>
      </c>
      <c r="E35" s="50" t="s">
        <v>230</v>
      </c>
      <c r="F35" s="50" t="s">
        <v>288</v>
      </c>
      <c r="G35" s="50" t="s">
        <v>183</v>
      </c>
      <c r="H35" s="46" t="s">
        <v>90</v>
      </c>
      <c r="I35" s="46" t="s">
        <v>94</v>
      </c>
      <c r="J35" s="46" t="s">
        <v>160</v>
      </c>
    </row>
    <row r="36" spans="1:10" x14ac:dyDescent="0.3">
      <c r="A36" s="139" t="s">
        <v>204</v>
      </c>
      <c r="B36" s="17" t="s">
        <v>186</v>
      </c>
      <c r="C36" s="17" t="s">
        <v>363</v>
      </c>
      <c r="D36" s="17" t="s">
        <v>40</v>
      </c>
      <c r="E36" s="17" t="s">
        <v>230</v>
      </c>
      <c r="F36" s="17"/>
      <c r="G36" s="17" t="s">
        <v>178</v>
      </c>
      <c r="H36" s="140" t="s">
        <v>90</v>
      </c>
      <c r="I36" s="140" t="s">
        <v>93</v>
      </c>
      <c r="J36" s="140" t="s">
        <v>160</v>
      </c>
    </row>
    <row r="37" spans="1:10" x14ac:dyDescent="0.3">
      <c r="A37" s="122" t="s">
        <v>208</v>
      </c>
      <c r="B37" s="50" t="s">
        <v>186</v>
      </c>
      <c r="C37" s="50" t="s">
        <v>364</v>
      </c>
      <c r="D37" s="50" t="s">
        <v>40</v>
      </c>
      <c r="E37" s="50" t="s">
        <v>231</v>
      </c>
      <c r="F37" s="50" t="s">
        <v>295</v>
      </c>
      <c r="G37" s="50" t="s">
        <v>178</v>
      </c>
      <c r="H37" s="46" t="s">
        <v>90</v>
      </c>
      <c r="I37" s="46" t="s">
        <v>93</v>
      </c>
      <c r="J37" s="46" t="s">
        <v>394</v>
      </c>
    </row>
    <row r="38" spans="1:10" x14ac:dyDescent="0.3">
      <c r="A38" s="124" t="s">
        <v>210</v>
      </c>
      <c r="B38" s="17" t="s">
        <v>186</v>
      </c>
      <c r="C38" s="17" t="s">
        <v>363</v>
      </c>
      <c r="D38" s="17" t="s">
        <v>233</v>
      </c>
      <c r="E38" s="17" t="s">
        <v>230</v>
      </c>
      <c r="F38" s="17"/>
      <c r="G38" s="143" t="s">
        <v>369</v>
      </c>
      <c r="H38" s="140" t="s">
        <v>90</v>
      </c>
      <c r="I38" s="140" t="s">
        <v>93</v>
      </c>
      <c r="J38" s="140" t="s">
        <v>394</v>
      </c>
    </row>
    <row r="39" spans="1:10" x14ac:dyDescent="0.3">
      <c r="A39" s="122" t="s">
        <v>213</v>
      </c>
      <c r="B39" s="50" t="s">
        <v>186</v>
      </c>
      <c r="C39" s="50" t="s">
        <v>363</v>
      </c>
      <c r="D39" s="50" t="s">
        <v>40</v>
      </c>
      <c r="E39" s="50" t="s">
        <v>230</v>
      </c>
      <c r="F39" s="50" t="s">
        <v>290</v>
      </c>
      <c r="G39" s="50" t="s">
        <v>178</v>
      </c>
      <c r="H39" s="46" t="s">
        <v>90</v>
      </c>
      <c r="I39" s="46" t="s">
        <v>93</v>
      </c>
      <c r="J39" s="50" t="s">
        <v>160</v>
      </c>
    </row>
    <row r="40" spans="1:10" x14ac:dyDescent="0.3">
      <c r="A40" s="124" t="s">
        <v>221</v>
      </c>
      <c r="B40" s="17" t="s">
        <v>186</v>
      </c>
      <c r="C40" s="17" t="s">
        <v>364</v>
      </c>
      <c r="D40" s="17" t="s">
        <v>40</v>
      </c>
      <c r="E40" s="17" t="s">
        <v>231</v>
      </c>
      <c r="F40" s="17" t="s">
        <v>284</v>
      </c>
      <c r="G40" s="17" t="s">
        <v>178</v>
      </c>
      <c r="H40" s="140" t="s">
        <v>90</v>
      </c>
      <c r="I40" s="140" t="s">
        <v>95</v>
      </c>
      <c r="J40" s="140" t="s">
        <v>160</v>
      </c>
    </row>
    <row r="41" spans="1:10" x14ac:dyDescent="0.3">
      <c r="A41" s="141" t="s">
        <v>236</v>
      </c>
      <c r="B41" s="50" t="s">
        <v>186</v>
      </c>
      <c r="C41" s="50" t="s">
        <v>363</v>
      </c>
      <c r="D41" s="50" t="s">
        <v>40</v>
      </c>
      <c r="E41" s="50" t="s">
        <v>230</v>
      </c>
      <c r="F41" s="50" t="s">
        <v>245</v>
      </c>
      <c r="G41" s="50" t="s">
        <v>309</v>
      </c>
      <c r="H41" s="46" t="s">
        <v>90</v>
      </c>
      <c r="I41" s="46" t="s">
        <v>93</v>
      </c>
      <c r="J41" s="46" t="s">
        <v>160</v>
      </c>
    </row>
    <row r="42" spans="1:10" x14ac:dyDescent="0.3">
      <c r="A42" s="139" t="s">
        <v>238</v>
      </c>
      <c r="B42" s="17" t="s">
        <v>186</v>
      </c>
      <c r="C42" s="17" t="s">
        <v>363</v>
      </c>
      <c r="D42" s="17" t="s">
        <v>40</v>
      </c>
      <c r="E42" s="17" t="s">
        <v>230</v>
      </c>
      <c r="F42" s="17">
        <v>0</v>
      </c>
      <c r="G42" s="17" t="s">
        <v>178</v>
      </c>
      <c r="H42" s="140" t="s">
        <v>90</v>
      </c>
      <c r="I42" s="140" t="s">
        <v>93</v>
      </c>
      <c r="J42" s="140" t="s">
        <v>160</v>
      </c>
    </row>
    <row r="43" spans="1:10" x14ac:dyDescent="0.3">
      <c r="A43" s="122" t="s">
        <v>251</v>
      </c>
      <c r="B43" s="50" t="s">
        <v>186</v>
      </c>
      <c r="C43" s="50" t="s">
        <v>364</v>
      </c>
      <c r="D43" s="50" t="s">
        <v>40</v>
      </c>
      <c r="E43" s="50" t="s">
        <v>230</v>
      </c>
      <c r="F43" s="50" t="s">
        <v>259</v>
      </c>
      <c r="G43" s="50" t="s">
        <v>178</v>
      </c>
      <c r="H43" s="46" t="s">
        <v>90</v>
      </c>
      <c r="I43" s="46" t="s">
        <v>93</v>
      </c>
      <c r="J43" s="46" t="s">
        <v>160</v>
      </c>
    </row>
    <row r="44" spans="1:10" x14ac:dyDescent="0.3">
      <c r="A44" s="124" t="s">
        <v>260</v>
      </c>
      <c r="B44" s="17" t="s">
        <v>186</v>
      </c>
      <c r="C44" s="17" t="s">
        <v>363</v>
      </c>
      <c r="D44" s="17" t="s">
        <v>40</v>
      </c>
      <c r="E44" s="17" t="s">
        <v>230</v>
      </c>
      <c r="F44" s="17" t="s">
        <v>265</v>
      </c>
      <c r="G44" s="17" t="s">
        <v>178</v>
      </c>
      <c r="H44" s="140" t="s">
        <v>91</v>
      </c>
      <c r="I44" s="140" t="s">
        <v>93</v>
      </c>
      <c r="J44" s="140" t="s">
        <v>160</v>
      </c>
    </row>
    <row r="45" spans="1:10" x14ac:dyDescent="0.3">
      <c r="A45" s="141" t="s">
        <v>269</v>
      </c>
      <c r="B45" s="50" t="s">
        <v>186</v>
      </c>
      <c r="C45" s="50" t="s">
        <v>363</v>
      </c>
      <c r="D45" s="50" t="s">
        <v>40</v>
      </c>
      <c r="E45" s="50" t="s">
        <v>230</v>
      </c>
      <c r="F45" s="50" t="s">
        <v>264</v>
      </c>
      <c r="G45" s="50" t="s">
        <v>178</v>
      </c>
      <c r="H45" s="46" t="s">
        <v>91</v>
      </c>
      <c r="I45" s="46" t="s">
        <v>93</v>
      </c>
      <c r="J45" s="46" t="s">
        <v>160</v>
      </c>
    </row>
    <row r="46" spans="1:10" x14ac:dyDescent="0.3">
      <c r="A46" s="139" t="s">
        <v>275</v>
      </c>
      <c r="B46" s="17" t="s">
        <v>186</v>
      </c>
      <c r="C46" s="17" t="s">
        <v>363</v>
      </c>
      <c r="D46" s="17" t="s">
        <v>40</v>
      </c>
      <c r="E46" s="17" t="s">
        <v>230</v>
      </c>
      <c r="F46" s="17" t="s">
        <v>286</v>
      </c>
      <c r="G46" s="17" t="s">
        <v>178</v>
      </c>
      <c r="H46" s="140" t="s">
        <v>91</v>
      </c>
      <c r="I46" s="140" t="s">
        <v>93</v>
      </c>
      <c r="J46" s="140" t="s">
        <v>160</v>
      </c>
    </row>
    <row r="47" spans="1:10" x14ac:dyDescent="0.3">
      <c r="A47" s="122" t="s">
        <v>335</v>
      </c>
      <c r="B47" s="50" t="s">
        <v>186</v>
      </c>
      <c r="C47" s="50" t="s">
        <v>363</v>
      </c>
      <c r="D47" s="50" t="s">
        <v>40</v>
      </c>
      <c r="E47" s="50" t="s">
        <v>230</v>
      </c>
      <c r="F47" s="50" t="s">
        <v>372</v>
      </c>
      <c r="G47" s="50" t="s">
        <v>178</v>
      </c>
      <c r="H47" s="46" t="s">
        <v>91</v>
      </c>
      <c r="I47" s="46" t="s">
        <v>336</v>
      </c>
      <c r="J47" s="46" t="s">
        <v>160</v>
      </c>
    </row>
    <row r="48" spans="1:10" x14ac:dyDescent="0.3">
      <c r="A48" s="139" t="s">
        <v>342</v>
      </c>
      <c r="B48" s="17" t="s">
        <v>174</v>
      </c>
      <c r="C48" s="17" t="s">
        <v>363</v>
      </c>
      <c r="D48" s="17" t="s">
        <v>40</v>
      </c>
      <c r="E48" s="17" t="s">
        <v>230</v>
      </c>
      <c r="F48" s="17"/>
      <c r="G48" s="17" t="s">
        <v>178</v>
      </c>
      <c r="H48" s="140" t="s">
        <v>91</v>
      </c>
      <c r="I48" s="140" t="s">
        <v>93</v>
      </c>
      <c r="J48" s="140" t="s">
        <v>160</v>
      </c>
    </row>
    <row r="49" spans="1:10" x14ac:dyDescent="0.3">
      <c r="A49" s="141" t="s">
        <v>345</v>
      </c>
      <c r="B49" s="50" t="s">
        <v>174</v>
      </c>
      <c r="C49" s="50" t="s">
        <v>363</v>
      </c>
      <c r="D49" s="50" t="s">
        <v>40</v>
      </c>
      <c r="E49" s="50" t="s">
        <v>230</v>
      </c>
      <c r="F49" s="50"/>
      <c r="G49" s="50" t="s">
        <v>178</v>
      </c>
      <c r="H49" s="46" t="s">
        <v>91</v>
      </c>
      <c r="I49" s="46" t="s">
        <v>93</v>
      </c>
      <c r="J49" s="46" t="s">
        <v>160</v>
      </c>
    </row>
    <row r="50" spans="1:10" x14ac:dyDescent="0.3">
      <c r="A50" s="139" t="s">
        <v>346</v>
      </c>
      <c r="B50" s="17" t="s">
        <v>186</v>
      </c>
      <c r="C50" s="17" t="s">
        <v>363</v>
      </c>
      <c r="D50" s="17" t="s">
        <v>40</v>
      </c>
      <c r="E50" s="17" t="s">
        <v>230</v>
      </c>
      <c r="F50" s="17">
        <v>0</v>
      </c>
      <c r="G50" s="17" t="s">
        <v>178</v>
      </c>
      <c r="H50" s="140" t="s">
        <v>91</v>
      </c>
      <c r="I50" s="140" t="s">
        <v>92</v>
      </c>
      <c r="J50" s="140" t="s">
        <v>160</v>
      </c>
    </row>
    <row r="51" spans="1:10" x14ac:dyDescent="0.3">
      <c r="A51" s="122" t="s">
        <v>350</v>
      </c>
      <c r="B51" s="50" t="s">
        <v>174</v>
      </c>
      <c r="C51" s="50" t="s">
        <v>363</v>
      </c>
      <c r="D51" s="50" t="s">
        <v>40</v>
      </c>
      <c r="E51" s="50" t="s">
        <v>231</v>
      </c>
      <c r="F51" s="50" t="s">
        <v>263</v>
      </c>
      <c r="G51" s="50" t="s">
        <v>178</v>
      </c>
      <c r="H51" s="46" t="s">
        <v>91</v>
      </c>
      <c r="I51" s="46" t="s">
        <v>92</v>
      </c>
      <c r="J51" s="46" t="s">
        <v>394</v>
      </c>
    </row>
    <row r="52" spans="1:10" x14ac:dyDescent="0.3">
      <c r="A52" s="124" t="s">
        <v>356</v>
      </c>
      <c r="B52" s="17" t="s">
        <v>186</v>
      </c>
      <c r="C52" s="17" t="s">
        <v>364</v>
      </c>
      <c r="D52" s="17" t="s">
        <v>40</v>
      </c>
      <c r="E52" s="17" t="s">
        <v>231</v>
      </c>
      <c r="F52" s="17" t="s">
        <v>374</v>
      </c>
      <c r="G52" s="17" t="s">
        <v>178</v>
      </c>
      <c r="H52" s="140" t="s">
        <v>90</v>
      </c>
      <c r="I52" s="140" t="s">
        <v>92</v>
      </c>
      <c r="J52" s="140" t="s">
        <v>394</v>
      </c>
    </row>
    <row r="53" spans="1:10" x14ac:dyDescent="0.3">
      <c r="A53" s="144" t="s">
        <v>386</v>
      </c>
      <c r="B53" s="50" t="s">
        <v>186</v>
      </c>
      <c r="C53" s="50" t="s">
        <v>363</v>
      </c>
      <c r="D53" s="50" t="s">
        <v>142</v>
      </c>
      <c r="E53" s="50"/>
      <c r="F53" s="50"/>
      <c r="G53" s="50" t="s">
        <v>178</v>
      </c>
      <c r="H53" s="46" t="s">
        <v>90</v>
      </c>
      <c r="I53" s="46" t="s">
        <v>96</v>
      </c>
      <c r="J53" s="46" t="s">
        <v>160</v>
      </c>
    </row>
    <row r="54" spans="1:10" x14ac:dyDescent="0.3">
      <c r="A54" s="125" t="s">
        <v>389</v>
      </c>
      <c r="B54" s="126" t="s">
        <v>186</v>
      </c>
      <c r="C54" s="126" t="s">
        <v>364</v>
      </c>
      <c r="D54" s="126" t="s">
        <v>40</v>
      </c>
      <c r="E54" s="126" t="s">
        <v>231</v>
      </c>
      <c r="F54" s="126" t="s">
        <v>299</v>
      </c>
      <c r="G54" s="126" t="s">
        <v>178</v>
      </c>
      <c r="H54" s="145" t="s">
        <v>90</v>
      </c>
      <c r="I54" s="145" t="s">
        <v>92</v>
      </c>
      <c r="J54" s="145" t="s">
        <v>394</v>
      </c>
    </row>
  </sheetData>
  <conditionalFormatting sqref="A1:A54">
    <cfRule type="duplicateValues" dxfId="53" priority="26"/>
    <cfRule type="duplicateValues" dxfId="52" priority="27"/>
  </conditionalFormatting>
  <conditionalFormatting sqref="A2:A7">
    <cfRule type="duplicateValues" dxfId="51" priority="24"/>
  </conditionalFormatting>
  <conditionalFormatting sqref="A2:A52">
    <cfRule type="duplicateValues" dxfId="50" priority="25"/>
  </conditionalFormatting>
  <conditionalFormatting sqref="A4:A52">
    <cfRule type="duplicateValues" dxfId="49" priority="23"/>
  </conditionalFormatting>
  <conditionalFormatting sqref="A5:A52">
    <cfRule type="duplicateValues" dxfId="48" priority="22"/>
  </conditionalFormatting>
  <conditionalFormatting sqref="A9">
    <cfRule type="duplicateValues" dxfId="47" priority="20"/>
    <cfRule type="duplicateValues" dxfId="46" priority="21"/>
  </conditionalFormatting>
  <conditionalFormatting sqref="A16">
    <cfRule type="duplicateValues" dxfId="45" priority="19"/>
  </conditionalFormatting>
  <conditionalFormatting sqref="A22:A34">
    <cfRule type="duplicateValues" dxfId="44" priority="18"/>
  </conditionalFormatting>
  <conditionalFormatting sqref="A23:A24">
    <cfRule type="duplicateValues" dxfId="43" priority="17"/>
  </conditionalFormatting>
  <conditionalFormatting sqref="A28">
    <cfRule type="duplicateValues" dxfId="42" priority="16"/>
  </conditionalFormatting>
  <conditionalFormatting sqref="A29:A32">
    <cfRule type="duplicateValues" dxfId="41" priority="15"/>
  </conditionalFormatting>
  <conditionalFormatting sqref="A29:A39">
    <cfRule type="duplicateValues" dxfId="40" priority="13"/>
    <cfRule type="duplicateValues" dxfId="39" priority="14"/>
  </conditionalFormatting>
  <conditionalFormatting sqref="A34">
    <cfRule type="duplicateValues" dxfId="38" priority="12"/>
  </conditionalFormatting>
  <conditionalFormatting sqref="A36">
    <cfRule type="duplicateValues" dxfId="37" priority="11"/>
  </conditionalFormatting>
  <conditionalFormatting sqref="A39">
    <cfRule type="duplicateValues" dxfId="36" priority="6"/>
    <cfRule type="duplicateValues" dxfId="35" priority="7"/>
    <cfRule type="duplicateValues" dxfId="34" priority="8"/>
    <cfRule type="duplicateValues" dxfId="33" priority="9"/>
  </conditionalFormatting>
  <conditionalFormatting sqref="A39:A40">
    <cfRule type="duplicateValues" dxfId="32" priority="10"/>
  </conditionalFormatting>
  <conditionalFormatting sqref="A40">
    <cfRule type="duplicateValues" dxfId="31" priority="5"/>
  </conditionalFormatting>
  <conditionalFormatting sqref="A47">
    <cfRule type="duplicateValues" dxfId="30" priority="3"/>
    <cfRule type="duplicateValues" dxfId="29" priority="4"/>
  </conditionalFormatting>
  <conditionalFormatting sqref="A48:A52">
    <cfRule type="duplicateValues" dxfId="28" priority="1"/>
    <cfRule type="duplicateValues" dxfId="27" priority="2"/>
  </conditionalFormatting>
  <pageMargins left="0.7" right="0.7" top="0.75" bottom="0.75" header="0.3" footer="0.3"/>
  <pageSetup orientation="portrait" r:id="rId1"/>
  <headerFooter differentFirst="1">
    <oddHeader xml:space="preserve">&amp;C&amp;12Classified by RER as: &amp;K558B2FPublic -  عام&amp;8&amp;K000000
</oddHeader>
  </headerFooter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62685308-4F26-4374-BCE1-3941106A632A}">
          <x14:formula1>
            <xm:f>Sheet1!$L$12:$L$23</xm:f>
          </x14:formula1>
          <xm:sqref>D1:D54</xm:sqref>
        </x14:dataValidation>
        <x14:dataValidation type="list" allowBlank="1" showInputMessage="1" showErrorMessage="1" xr:uid="{2789CD52-D221-44DE-8B0D-06013321CB06}">
          <x14:formula1>
            <xm:f>Sheet1!$Q$12:$Q$15</xm:f>
          </x14:formula1>
          <xm:sqref>J1</xm:sqref>
        </x14:dataValidation>
        <x14:dataValidation type="list" allowBlank="1" showInputMessage="1" showErrorMessage="1" xr:uid="{7045A579-47CA-4EB2-A2FE-32FFE7D823B6}">
          <x14:formula1>
            <xm:f>Sheet1!$T$12:$T$14</xm:f>
          </x14:formula1>
          <xm:sqref>E1:E54</xm:sqref>
        </x14:dataValidation>
        <x14:dataValidation type="list" allowBlank="1" showInputMessage="1" showErrorMessage="1" xr:uid="{BA185EEA-0DF7-47E6-95D2-031C68B0FE38}">
          <x14:formula1>
            <xm:f>Sheet1!$J$13:$J$26</xm:f>
          </x14:formula1>
          <xm:sqref>G1</xm:sqref>
        </x14:dataValidation>
        <x14:dataValidation type="list" allowBlank="1" showInputMessage="1" showErrorMessage="1" xr:uid="{A197F8FD-9132-4AA0-A113-48B7C3C9A4C6}">
          <x14:formula1>
            <xm:f>Sheet1!$S$12:$S$13</xm:f>
          </x14:formula1>
          <xm:sqref>B1:B54</xm:sqref>
        </x14:dataValidation>
        <x14:dataValidation type="list" allowBlank="1" showInputMessage="1" showErrorMessage="1" xr:uid="{9C7DAA13-B94A-47E3-A229-0F69EB8DBE48}">
          <x14:formula1>
            <xm:f>Sheet1!$O$12:$O$13</xm:f>
          </x14:formula1>
          <xm:sqref>H1:H54</xm:sqref>
        </x14:dataValidation>
        <x14:dataValidation type="list" allowBlank="1" showInputMessage="1" showErrorMessage="1" xr:uid="{55EC5F82-8FFE-48BC-B55F-8E63ADCA7EB5}">
          <x14:formula1>
            <xm:f>Sheet1!$P$12:$P$18</xm:f>
          </x14:formula1>
          <xm:sqref>I1 I48:I52</xm:sqref>
        </x14:dataValidation>
        <x14:dataValidation type="list" allowBlank="1" showInputMessage="1" showErrorMessage="1" xr:uid="{2EBCA317-7A49-48A4-A3BB-D218515806F3}">
          <x14:formula1>
            <xm:f>Sheet1!$Q$12:$Q$16</xm:f>
          </x14:formula1>
          <xm:sqref>J2:J54</xm:sqref>
        </x14:dataValidation>
        <x14:dataValidation type="list" allowBlank="1" showInputMessage="1" showErrorMessage="1" xr:uid="{8F0E508C-D3C3-4DF7-96D0-6D007B7D7F9C}">
          <x14:formula1>
            <xm:f>Sheet1!$J$13:$J$28</xm:f>
          </x14:formula1>
          <xm:sqref>G2:G54</xm:sqref>
        </x14:dataValidation>
        <x14:dataValidation type="list" allowBlank="1" showInputMessage="1" showErrorMessage="1" xr:uid="{3AB0CBFC-BF11-455B-B0DA-E1CBD0D90485}">
          <x14:formula1>
            <xm:f>Sheet1!$P$5:$Q$8+Sheet1!$U$12:$U$13</xm:f>
          </x14:formula1>
          <xm:sqref>C2:C54</xm:sqref>
        </x14:dataValidation>
        <x14:dataValidation type="list" allowBlank="1" showInputMessage="1" showErrorMessage="1" xr:uid="{0B2BD589-2A99-4E8A-B2CB-FBA60EFE0F7E}">
          <x14:formula1>
            <xm:f>Sheet1!$P$12:$P$19</xm:f>
          </x14:formula1>
          <xm:sqref>I2:I47 I53:I54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8BF4-95F8-417A-954A-8C482179E007}">
  <dimension ref="A1:B54"/>
  <sheetViews>
    <sheetView workbookViewId="0">
      <selection sqref="A1:B54"/>
    </sheetView>
  </sheetViews>
  <sheetFormatPr defaultRowHeight="14.4" x14ac:dyDescent="0.3"/>
  <cols>
    <col min="1" max="1" width="38.6640625" customWidth="1"/>
    <col min="2" max="11" width="46.33203125" customWidth="1"/>
  </cols>
  <sheetData>
    <row r="1" spans="1:2" x14ac:dyDescent="0.3">
      <c r="A1" s="146" t="s">
        <v>18</v>
      </c>
      <c r="B1" s="147" t="s">
        <v>100</v>
      </c>
    </row>
    <row r="2" spans="1:2" x14ac:dyDescent="0.3">
      <c r="A2" s="124" t="s">
        <v>24</v>
      </c>
      <c r="B2" s="148" t="s">
        <v>104</v>
      </c>
    </row>
    <row r="3" spans="1:2" x14ac:dyDescent="0.3">
      <c r="A3" s="122" t="s">
        <v>138</v>
      </c>
      <c r="B3" s="149" t="s">
        <v>155</v>
      </c>
    </row>
    <row r="4" spans="1:2" x14ac:dyDescent="0.3">
      <c r="A4" s="124" t="s">
        <v>135</v>
      </c>
      <c r="B4" s="148" t="s">
        <v>113</v>
      </c>
    </row>
    <row r="5" spans="1:2" x14ac:dyDescent="0.3">
      <c r="A5" s="122" t="s">
        <v>128</v>
      </c>
      <c r="B5" s="149" t="s">
        <v>225</v>
      </c>
    </row>
    <row r="6" spans="1:2" x14ac:dyDescent="0.3">
      <c r="A6" s="124" t="s">
        <v>79</v>
      </c>
      <c r="B6" s="148" t="s">
        <v>106</v>
      </c>
    </row>
    <row r="7" spans="1:2" x14ac:dyDescent="0.3">
      <c r="A7" s="122" t="s">
        <v>126</v>
      </c>
      <c r="B7" s="149" t="s">
        <v>153</v>
      </c>
    </row>
    <row r="8" spans="1:2" x14ac:dyDescent="0.3">
      <c r="A8" s="124" t="s">
        <v>122</v>
      </c>
      <c r="B8" s="148" t="s">
        <v>152</v>
      </c>
    </row>
    <row r="9" spans="1:2" x14ac:dyDescent="0.3">
      <c r="A9" s="122" t="s">
        <v>127</v>
      </c>
      <c r="B9" s="149" t="s">
        <v>365</v>
      </c>
    </row>
    <row r="10" spans="1:2" x14ac:dyDescent="0.3">
      <c r="A10" s="124" t="s">
        <v>130</v>
      </c>
      <c r="B10" s="148" t="s">
        <v>154</v>
      </c>
    </row>
    <row r="11" spans="1:2" x14ac:dyDescent="0.3">
      <c r="A11" s="122" t="s">
        <v>143</v>
      </c>
      <c r="B11" s="150" t="s">
        <v>164</v>
      </c>
    </row>
    <row r="12" spans="1:2" x14ac:dyDescent="0.3">
      <c r="A12" s="124" t="s">
        <v>129</v>
      </c>
      <c r="B12" s="148" t="s">
        <v>224</v>
      </c>
    </row>
    <row r="13" spans="1:2" x14ac:dyDescent="0.3">
      <c r="A13" s="122" t="s">
        <v>14</v>
      </c>
      <c r="B13" s="149" t="s">
        <v>105</v>
      </c>
    </row>
    <row r="14" spans="1:2" x14ac:dyDescent="0.3">
      <c r="A14" s="124" t="s">
        <v>2</v>
      </c>
      <c r="B14" s="148" t="s">
        <v>107</v>
      </c>
    </row>
    <row r="15" spans="1:2" x14ac:dyDescent="0.3">
      <c r="A15" s="122" t="s">
        <v>121</v>
      </c>
      <c r="B15" s="149" t="s">
        <v>151</v>
      </c>
    </row>
    <row r="16" spans="1:2" x14ac:dyDescent="0.3">
      <c r="A16" s="124" t="s">
        <v>137</v>
      </c>
      <c r="B16" s="148" t="s">
        <v>156</v>
      </c>
    </row>
    <row r="17" spans="1:2" x14ac:dyDescent="0.3">
      <c r="A17" s="122" t="s">
        <v>21</v>
      </c>
      <c r="B17" s="149" t="s">
        <v>102</v>
      </c>
    </row>
    <row r="18" spans="1:2" x14ac:dyDescent="0.3">
      <c r="A18" s="124" t="s">
        <v>120</v>
      </c>
      <c r="B18" s="148" t="s">
        <v>150</v>
      </c>
    </row>
    <row r="19" spans="1:2" x14ac:dyDescent="0.3">
      <c r="A19" s="122" t="s">
        <v>9</v>
      </c>
      <c r="B19" s="149" t="s">
        <v>101</v>
      </c>
    </row>
    <row r="20" spans="1:2" x14ac:dyDescent="0.3">
      <c r="A20" s="124" t="s">
        <v>109</v>
      </c>
      <c r="B20" s="148" t="s">
        <v>111</v>
      </c>
    </row>
    <row r="21" spans="1:2" x14ac:dyDescent="0.3">
      <c r="A21" s="122" t="s">
        <v>23</v>
      </c>
      <c r="B21" s="149" t="s">
        <v>103</v>
      </c>
    </row>
    <row r="22" spans="1:2" x14ac:dyDescent="0.3">
      <c r="A22" s="124" t="s">
        <v>110</v>
      </c>
      <c r="B22" s="148" t="s">
        <v>112</v>
      </c>
    </row>
    <row r="23" spans="1:2" x14ac:dyDescent="0.3">
      <c r="A23" s="122" t="s">
        <v>159</v>
      </c>
      <c r="B23" s="149" t="s">
        <v>167</v>
      </c>
    </row>
    <row r="24" spans="1:2" x14ac:dyDescent="0.3">
      <c r="A24" s="124" t="s">
        <v>161</v>
      </c>
      <c r="B24" s="148" t="s">
        <v>162</v>
      </c>
    </row>
    <row r="25" spans="1:2" x14ac:dyDescent="0.3">
      <c r="A25" s="122" t="s">
        <v>170</v>
      </c>
      <c r="B25" s="150" t="s">
        <v>171</v>
      </c>
    </row>
    <row r="26" spans="1:2" x14ac:dyDescent="0.3">
      <c r="A26" s="124" t="s">
        <v>165</v>
      </c>
      <c r="B26" s="151" t="s">
        <v>168</v>
      </c>
    </row>
    <row r="27" spans="1:2" x14ac:dyDescent="0.3">
      <c r="A27" s="122" t="s">
        <v>166</v>
      </c>
      <c r="B27" s="150" t="s">
        <v>176</v>
      </c>
    </row>
    <row r="28" spans="1:2" x14ac:dyDescent="0.3">
      <c r="A28" s="124" t="s">
        <v>187</v>
      </c>
      <c r="B28" s="151" t="s">
        <v>169</v>
      </c>
    </row>
    <row r="29" spans="1:2" x14ac:dyDescent="0.3">
      <c r="A29" s="122" t="s">
        <v>173</v>
      </c>
      <c r="B29" s="149" t="s">
        <v>175</v>
      </c>
    </row>
    <row r="30" spans="1:2" x14ac:dyDescent="0.3">
      <c r="A30" s="124" t="s">
        <v>189</v>
      </c>
      <c r="B30" s="148" t="s">
        <v>192</v>
      </c>
    </row>
    <row r="31" spans="1:2" x14ac:dyDescent="0.3">
      <c r="A31" s="122" t="s">
        <v>190</v>
      </c>
      <c r="B31" s="149" t="s">
        <v>193</v>
      </c>
    </row>
    <row r="32" spans="1:2" x14ac:dyDescent="0.3">
      <c r="A32" s="124" t="s">
        <v>191</v>
      </c>
      <c r="B32" s="148" t="s">
        <v>195</v>
      </c>
    </row>
    <row r="33" spans="1:2" x14ac:dyDescent="0.3">
      <c r="A33" s="122" t="s">
        <v>196</v>
      </c>
      <c r="B33" s="149" t="s">
        <v>197</v>
      </c>
    </row>
    <row r="34" spans="1:2" x14ac:dyDescent="0.3">
      <c r="A34" s="124" t="s">
        <v>198</v>
      </c>
      <c r="B34" s="148" t="s">
        <v>200</v>
      </c>
    </row>
    <row r="35" spans="1:2" x14ac:dyDescent="0.3">
      <c r="A35" s="122" t="s">
        <v>203</v>
      </c>
      <c r="B35" s="149" t="s">
        <v>206</v>
      </c>
    </row>
    <row r="36" spans="1:2" x14ac:dyDescent="0.3">
      <c r="A36" s="124" t="s">
        <v>204</v>
      </c>
      <c r="B36" s="148" t="s">
        <v>207</v>
      </c>
    </row>
    <row r="37" spans="1:2" x14ac:dyDescent="0.3">
      <c r="A37" s="122" t="s">
        <v>208</v>
      </c>
      <c r="B37" s="149" t="s">
        <v>219</v>
      </c>
    </row>
    <row r="38" spans="1:2" x14ac:dyDescent="0.3">
      <c r="A38" s="124" t="s">
        <v>210</v>
      </c>
      <c r="B38" s="148" t="s">
        <v>211</v>
      </c>
    </row>
    <row r="39" spans="1:2" x14ac:dyDescent="0.3">
      <c r="A39" s="122" t="s">
        <v>213</v>
      </c>
      <c r="B39" s="149" t="s">
        <v>222</v>
      </c>
    </row>
    <row r="40" spans="1:2" x14ac:dyDescent="0.3">
      <c r="A40" s="124" t="s">
        <v>221</v>
      </c>
      <c r="B40" s="148" t="s">
        <v>223</v>
      </c>
    </row>
    <row r="41" spans="1:2" x14ac:dyDescent="0.3">
      <c r="A41" s="122" t="s">
        <v>236</v>
      </c>
      <c r="B41" s="149" t="s">
        <v>241</v>
      </c>
    </row>
    <row r="42" spans="1:2" x14ac:dyDescent="0.3">
      <c r="A42" s="124" t="s">
        <v>238</v>
      </c>
      <c r="B42" s="148" t="s">
        <v>242</v>
      </c>
    </row>
    <row r="43" spans="1:2" x14ac:dyDescent="0.3">
      <c r="A43" s="122" t="s">
        <v>251</v>
      </c>
      <c r="B43" s="150" t="s">
        <v>303</v>
      </c>
    </row>
    <row r="44" spans="1:2" x14ac:dyDescent="0.3">
      <c r="A44" s="124" t="s">
        <v>260</v>
      </c>
      <c r="B44" s="151" t="s">
        <v>304</v>
      </c>
    </row>
    <row r="45" spans="1:2" x14ac:dyDescent="0.3">
      <c r="A45" s="122" t="s">
        <v>269</v>
      </c>
      <c r="B45" s="150" t="s">
        <v>305</v>
      </c>
    </row>
    <row r="46" spans="1:2" x14ac:dyDescent="0.3">
      <c r="A46" s="124" t="s">
        <v>275</v>
      </c>
      <c r="B46" s="151" t="s">
        <v>331</v>
      </c>
    </row>
    <row r="47" spans="1:2" x14ac:dyDescent="0.3">
      <c r="A47" s="122" t="s">
        <v>335</v>
      </c>
      <c r="B47" s="150" t="s">
        <v>367</v>
      </c>
    </row>
    <row r="48" spans="1:2" x14ac:dyDescent="0.3">
      <c r="A48" s="124" t="s">
        <v>342</v>
      </c>
      <c r="B48" s="151" t="s">
        <v>361</v>
      </c>
    </row>
    <row r="49" spans="1:2" x14ac:dyDescent="0.3">
      <c r="A49" s="122" t="s">
        <v>345</v>
      </c>
      <c r="B49" s="150" t="s">
        <v>348</v>
      </c>
    </row>
    <row r="50" spans="1:2" x14ac:dyDescent="0.3">
      <c r="A50" s="124" t="s">
        <v>346</v>
      </c>
      <c r="B50" s="151" t="s">
        <v>349</v>
      </c>
    </row>
    <row r="51" spans="1:2" x14ac:dyDescent="0.3">
      <c r="A51" s="122" t="s">
        <v>350</v>
      </c>
      <c r="B51" s="150" t="s">
        <v>362</v>
      </c>
    </row>
    <row r="52" spans="1:2" x14ac:dyDescent="0.3">
      <c r="A52" s="124" t="s">
        <v>356</v>
      </c>
      <c r="B52" s="151" t="s">
        <v>366</v>
      </c>
    </row>
    <row r="53" spans="1:2" x14ac:dyDescent="0.3">
      <c r="A53" s="144" t="s">
        <v>386</v>
      </c>
      <c r="B53" s="150" t="s">
        <v>387</v>
      </c>
    </row>
    <row r="54" spans="1:2" x14ac:dyDescent="0.3">
      <c r="A54" s="125" t="s">
        <v>389</v>
      </c>
      <c r="B54" s="152" t="s">
        <v>390</v>
      </c>
    </row>
  </sheetData>
  <conditionalFormatting sqref="A1:A54">
    <cfRule type="duplicateValues" dxfId="26" priority="26"/>
    <cfRule type="duplicateValues" dxfId="25" priority="27"/>
  </conditionalFormatting>
  <conditionalFormatting sqref="A2:A7">
    <cfRule type="duplicateValues" dxfId="24" priority="24"/>
  </conditionalFormatting>
  <conditionalFormatting sqref="A2:A52">
    <cfRule type="duplicateValues" dxfId="23" priority="25"/>
  </conditionalFormatting>
  <conditionalFormatting sqref="A4:A52">
    <cfRule type="duplicateValues" dxfId="22" priority="23"/>
  </conditionalFormatting>
  <conditionalFormatting sqref="A5:A52">
    <cfRule type="duplicateValues" dxfId="21" priority="22"/>
  </conditionalFormatting>
  <conditionalFormatting sqref="A9">
    <cfRule type="duplicateValues" dxfId="20" priority="20"/>
    <cfRule type="duplicateValues" dxfId="19" priority="21"/>
  </conditionalFormatting>
  <conditionalFormatting sqref="A16">
    <cfRule type="duplicateValues" dxfId="18" priority="19"/>
  </conditionalFormatting>
  <conditionalFormatting sqref="A22:A34">
    <cfRule type="duplicateValues" dxfId="17" priority="18"/>
  </conditionalFormatting>
  <conditionalFormatting sqref="A23:A24">
    <cfRule type="duplicateValues" dxfId="16" priority="17"/>
  </conditionalFormatting>
  <conditionalFormatting sqref="A28">
    <cfRule type="duplicateValues" dxfId="15" priority="16"/>
  </conditionalFormatting>
  <conditionalFormatting sqref="A29:A32">
    <cfRule type="duplicateValues" dxfId="14" priority="15"/>
  </conditionalFormatting>
  <conditionalFormatting sqref="A29:A39">
    <cfRule type="duplicateValues" dxfId="13" priority="13"/>
    <cfRule type="duplicateValues" dxfId="12" priority="14"/>
  </conditionalFormatting>
  <conditionalFormatting sqref="A34">
    <cfRule type="duplicateValues" dxfId="11" priority="12"/>
  </conditionalFormatting>
  <conditionalFormatting sqref="A36">
    <cfRule type="duplicateValues" dxfId="10" priority="11"/>
  </conditionalFormatting>
  <conditionalFormatting sqref="A39">
    <cfRule type="duplicateValues" dxfId="9" priority="6"/>
    <cfRule type="duplicateValues" dxfId="8" priority="7"/>
    <cfRule type="duplicateValues" dxfId="7" priority="8"/>
    <cfRule type="duplicateValues" dxfId="6" priority="9"/>
  </conditionalFormatting>
  <conditionalFormatting sqref="A39:A40">
    <cfRule type="duplicateValues" dxfId="5" priority="10"/>
  </conditionalFormatting>
  <conditionalFormatting sqref="A40">
    <cfRule type="duplicateValues" dxfId="4" priority="5"/>
  </conditionalFormatting>
  <conditionalFormatting sqref="A47">
    <cfRule type="duplicateValues" dxfId="3" priority="3"/>
    <cfRule type="duplicateValues" dxfId="2" priority="4"/>
  </conditionalFormatting>
  <conditionalFormatting sqref="A48:A52">
    <cfRule type="duplicateValues" dxfId="1" priority="1"/>
    <cfRule type="duplicateValues" dxfId="0" priority="2"/>
  </conditionalFormatting>
  <hyperlinks>
    <hyperlink ref="B3" r:id="rId1" xr:uid="{33FE40F5-CA00-4D7C-AFA8-3D24D7EE0DC6}"/>
    <hyperlink ref="B4" r:id="rId2" xr:uid="{B10DCA91-9FF0-499C-8387-72C914277437}"/>
    <hyperlink ref="B5" r:id="rId3" xr:uid="{4E5AE417-BABA-4E43-892D-4264E5462173}"/>
    <hyperlink ref="B6" r:id="rId4" xr:uid="{52EB2AA3-8B95-49FE-B3AD-C337E8427672}"/>
    <hyperlink ref="B8" r:id="rId5" xr:uid="{273D7CD4-94D8-4342-8798-66D645C4159E}"/>
    <hyperlink ref="B11" r:id="rId6" display="https://emcp.bluvalt.com/Default.aspx?pid=SpaceExchangeServer&amp;mid=215&amp;ctl=edit_user&amp;SpaceID=21&amp;AccountID=4808&amp;ItemID=141&amp;Context=User" xr:uid="{520C3292-80FF-4E66-9B1C-56C9302D2227}"/>
    <hyperlink ref="B12" r:id="rId7" xr:uid="{AB2676FD-BD4B-418F-B1D7-2CA13F36D7B7}"/>
    <hyperlink ref="B13" r:id="rId8" xr:uid="{C6058FE0-279D-4C08-9C65-C0AD71672B9A}"/>
    <hyperlink ref="B15" r:id="rId9" xr:uid="{3E9051D5-31AD-4A38-903E-BF6D4DFF68D8}"/>
    <hyperlink ref="B18" r:id="rId10" xr:uid="{B66253F5-9397-48A3-97E3-9080A938D9E5}"/>
    <hyperlink ref="B20" r:id="rId11" xr:uid="{D91B01D8-A4B9-4B61-969B-3B5919042C4B}"/>
    <hyperlink ref="B26" r:id="rId12" xr:uid="{B8CCE480-D271-48FB-B438-F6A11CD132C3}"/>
    <hyperlink ref="B25" r:id="rId13" tooltip="mailto:idmohammed.c@rer.sa" display="mailto:idmohammed.c@rer.sa" xr:uid="{11EF22E3-4F57-4BF5-9281-E7E74A91D887}"/>
    <hyperlink ref="B28" r:id="rId14" xr:uid="{77C4AAFA-7FCF-4AC4-803A-BC1842D2C9E3}"/>
    <hyperlink ref="B30" r:id="rId15" xr:uid="{D4B1D3D6-293C-4402-BEF7-C9C3B09ACCE2}"/>
    <hyperlink ref="B31" r:id="rId16" xr:uid="{782890F4-7EC7-471B-9E32-73F6649BA1E3}"/>
    <hyperlink ref="B32" r:id="rId17" xr:uid="{D9CCE064-373A-4280-AE86-A54E5358E585}"/>
    <hyperlink ref="B33" r:id="rId18" xr:uid="{1C7313FF-3A30-4EB2-9267-620501F9968E}"/>
    <hyperlink ref="B35" r:id="rId19" xr:uid="{7C79F4D2-C9DC-42AD-827F-BBBEDDBE9630}"/>
    <hyperlink ref="B36" r:id="rId20" xr:uid="{07D97A9C-4358-43E7-98E8-2285AC1206ED}"/>
    <hyperlink ref="B37" r:id="rId21" display="mailto:Iabdullah.c@rer.sa" xr:uid="{F625DB7E-C931-40BF-9B8B-E5676D4A4E9E}"/>
    <hyperlink ref="B39" r:id="rId22" display="mailto:aalmusnid.c@rer.sa" xr:uid="{C5E29D8F-0F01-482A-A235-409CA7A2A5C8}"/>
    <hyperlink ref="B40" r:id="rId23" xr:uid="{2D879DDD-4008-4F44-AD45-E96F38BF9B77}"/>
    <hyperlink ref="B41" r:id="rId24" xr:uid="{1623CB9A-4BA2-4EC2-9756-2C63C240EFD5}"/>
    <hyperlink ref="B42" r:id="rId25" display="mailto:Falmutairi.c@rer.sa" xr:uid="{923549B1-4B24-45C4-A302-CB44EE86FA23}"/>
    <hyperlink ref="B43" r:id="rId26" xr:uid="{0ED35696-47E5-47B4-BB58-F5779663A8C6}"/>
    <hyperlink ref="B44" r:id="rId27" display="mailto:MAlMutairi.c@rer.sa" xr:uid="{7AB103F2-9FB8-479C-AA40-1BF7B2B32195}"/>
    <hyperlink ref="B45" r:id="rId28" display="mailto:MAlSayf.c@rer.sa" xr:uid="{E83F22EE-0CCA-46C3-BFF8-EC6B6B057B01}"/>
    <hyperlink ref="B46" r:id="rId29" display="mailto:Malshebani.c@rer.sa" xr:uid="{BE188987-0EF1-4E28-B2EF-8ABF65E96638}"/>
    <hyperlink ref="B47" r:id="rId30" xr:uid="{CA0F0F52-A745-4F0B-B7D0-3F21F14B6A5A}"/>
    <hyperlink ref="B48" r:id="rId31" display="mailto:Abladi.c@Rer.sa" xr:uid="{4C448E5A-745B-4678-A479-AEE29986C0AF}"/>
    <hyperlink ref="B51" r:id="rId32" display="mailto:Gsalem.c@Rer.sa" xr:uid="{FE210ABD-9E6A-4DF3-B512-F48E2570BCD4}"/>
    <hyperlink ref="B54" r:id="rId33" display="mailto:FOsman.c@rer.sa" xr:uid="{1496D86D-83AF-47FC-84B7-43038A19926E}"/>
  </hyperlinks>
  <pageMargins left="0.7" right="0.7" top="0.75" bottom="0.75" header="0.3" footer="0.3"/>
  <pageSetup orientation="portrait" r:id="rId34"/>
  <headerFooter differentFirst="1">
    <oddHeader xml:space="preserve">&amp;C&amp;12Classified by RER as: &amp;K558B2FPublic -  عام&amp;8&amp;K000000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62197de3-9ef9-4b5d-92b9-2d31418e99be</TitusGUID>
  <TitusMetadata xmlns="">eyJucyI6Imh0dHA6XC9cL3d3dy50aXR1cy5jb21cL25zXC9SRVIiLCJwcm9wcyI6W3sibiI6IkNsYXNzaWZpY2F0aW9uIiwidmFscyI6W3sidmFsdWUiOiJQdWJsaWMifV19XX0=</TitusMetadata>
</titus>
</file>

<file path=customXml/itemProps1.xml><?xml version="1.0" encoding="utf-8"?>
<ds:datastoreItem xmlns:ds="http://schemas.openxmlformats.org/officeDocument/2006/customXml" ds:itemID="{75CA4941-A634-4C7A-BD61-9694755F8B41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Employees  </vt:lpstr>
      <vt:lpstr>Total number of employees for </vt:lpstr>
      <vt:lpstr>Sheet2</vt:lpstr>
      <vt:lpstr>All Employees </vt:lpstr>
      <vt:lpstr>Morning Shift  (2)</vt:lpstr>
      <vt:lpstr>Sheet1</vt:lpstr>
      <vt:lpstr>Sheet3</vt:lpstr>
      <vt:lpstr>حذف بصمة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A. Alshehri</dc:creator>
  <cp:lastModifiedBy>Mashael AlSubaie</cp:lastModifiedBy>
  <cp:lastPrinted>2024-06-11T09:28:05Z</cp:lastPrinted>
  <dcterms:created xsi:type="dcterms:W3CDTF">2015-06-05T18:17:20Z</dcterms:created>
  <dcterms:modified xsi:type="dcterms:W3CDTF">2025-10-15T07:19:07Z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62197de3-9ef9-4b5d-92b9-2d31418e99be</vt:lpwstr>
  </property>
  <property fmtid="{D5CDD505-2E9C-101B-9397-08002B2CF9AE}" pid="3" name="Classification">
    <vt:lpwstr>Public</vt:lpwstr>
  </property>
  <property fmtid="{D5CDD505-2E9C-101B-9397-08002B2CF9AE}" pid="4" name="ClassificationX">
    <vt:lpwstr>x-titusclassification: Classification=Public</vt:lpwstr>
  </property>
</Properties>
</file>